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28.xml.rels" ContentType="application/vnd.openxmlformats-package.relationships+xml"/>
  <Override PartName="/xl/worksheets/_rels/sheet30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29.xml.rels" ContentType="application/vnd.openxmlformats-package.relationships+xml"/>
  <Override PartName="/xl/worksheets/_rels/sheet15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_rels/sheet3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Alteracoes" sheetId="2" state="visible" r:id="rId4"/>
    <sheet name="Mapa_DCF" sheetId="3" state="visible" r:id="rId5"/>
    <sheet name="Conferencia" sheetId="4" state="visible" r:id="rId6"/>
    <sheet name="Exemplo_custo" sheetId="5" state="visible" r:id="rId7"/>
    <sheet name="autorizacao_ambiental" sheetId="6" state="visible" r:id="rId8"/>
    <sheet name="autorizacao_movimento" sheetId="7" state="visible" r:id="rId9"/>
    <sheet name="inventario_florestal" sheetId="8" state="visible" r:id="rId10"/>
    <sheet name="inventario_parcela" sheetId="9" state="visible" r:id="rId11"/>
    <sheet name="inventario_talhao" sheetId="10" state="visible" r:id="rId12"/>
    <sheet name="talhao" sheetId="11" state="visible" r:id="rId13"/>
    <sheet name="plantio" sheetId="12" state="visible" r:id="rId14"/>
    <sheet name="fazenda" sheetId="13" state="visible" r:id="rId15"/>
    <sheet name="proprietario" sheetId="14" state="visible" r:id="rId16"/>
    <sheet name="upc" sheetId="15" state="visible" r:id="rId17"/>
    <sheet name="colheita" sheetId="16" state="visible" r:id="rId18"/>
    <sheet name="transporte_lenha" sheetId="17" state="visible" r:id="rId19"/>
    <sheet name="fornecedor" sheetId="18" state="visible" r:id="rId20"/>
    <sheet name="centro_custo" sheetId="19" state="visible" r:id="rId21"/>
    <sheet name="categoria_custo" sheetId="20" state="visible" r:id="rId22"/>
    <sheet name="equipamento" sheetId="21" state="visible" r:id="rId23"/>
    <sheet name="cliente" sheetId="22" state="visible" r:id="rId24"/>
    <sheet name="producao_carvao" sheetId="23" state="visible" r:id="rId25"/>
    <sheet name="lancamento_custo" sheetId="24" state="visible" r:id="rId26"/>
    <sheet name="lancamento_custo_rateio" sheetId="25" state="visible" r:id="rId27"/>
    <sheet name="expedicao_carvao" sheetId="26" state="visible" r:id="rId28"/>
    <sheet name="fechamento_fornecedor" sheetId="27" state="visible" r:id="rId29"/>
    <sheet name="fechamento_item" sheetId="28" state="visible" r:id="rId30"/>
    <sheet name="apuracao_custo" sheetId="29" state="visible" r:id="rId31"/>
    <sheet name="apuracao_custo_item" sheetId="30" state="visible" r:id="rId3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<sst xmlns="http://schemas.openxmlformats.org/spreadsheetml/2006/main" count="3998" uniqueCount="1289">
  <si>
    <t xml:space="preserve">Tabelas do sistema: versão revisada</t>
  </si>
  <si>
    <t xml:space="preserve">Baseada na planilha Tabelas_sistema.xlsx, no DCF (SEI 2100.01.0004432/2026-31, Fazenda Mumbuca, Curvelo) e no inventário florestal da Fazenda Salto. Esta versão 2 acrescenta o módulo de custos e pagamentos (abas com situação "NOVA (custos)"). A planilha original não foi alterada. Cada tabela está em uma aba, com as mesmas colunas de antes mais ORIGEM (de onde veio o campo) e ALTERAÇÃO.</t>
  </si>
  <si>
    <t xml:space="preserve">Como ler</t>
  </si>
  <si>
    <t xml:space="preserve">Novo</t>
  </si>
  <si>
    <t xml:space="preserve">Campo ou tabela que não existia na planilha original.</t>
  </si>
  <si>
    <t xml:space="preserve">Alterado</t>
  </si>
  <si>
    <t xml:space="preserve">Campo que existia e mudou (tipo, condição, nome ou significado).</t>
  </si>
  <si>
    <t xml:space="preserve">Mantido</t>
  </si>
  <si>
    <t xml:space="preserve">Campo igual ao original.</t>
  </si>
  <si>
    <t xml:space="preserve">Tipos: inteiro, texto, numérico (TAMANHO = dígitos totais, casas decimais; ex.: 14,3), data e booleano. Valores em dinheiro e volumes usam numérico em vez de double, para não acumular erro de arredondamento no saldo. PK = chave primária, FK = chave estrangeira.</t>
  </si>
  <si>
    <t xml:space="preserve">Abas</t>
  </si>
  <si>
    <t xml:space="preserve">#</t>
  </si>
  <si>
    <t xml:space="preserve">Aba</t>
  </si>
  <si>
    <t xml:space="preserve">Situação</t>
  </si>
  <si>
    <t xml:space="preserve">Para que serve</t>
  </si>
  <si>
    <t xml:space="preserve">Alteracoes</t>
  </si>
  <si>
    <t xml:space="preserve">Lista</t>
  </si>
  <si>
    <t xml:space="preserve">O que mudou em cada tabela e por quê.</t>
  </si>
  <si>
    <t xml:space="preserve">Mapa_DCF</t>
  </si>
  <si>
    <t xml:space="preserve">Cada item do DCF e do inventário de exemplo, e em que tabela/campo ele entra.</t>
  </si>
  <si>
    <t xml:space="preserve">Conferencia</t>
  </si>
  <si>
    <t xml:space="preserve">Fórmulas</t>
  </si>
  <si>
    <t xml:space="preserve">Contas de conferência feitas com os números dos PDFs (aparecem as diferenças).</t>
  </si>
  <si>
    <t xml:space="preserve">Exemplo_custo</t>
  </si>
  <si>
    <t xml:space="preserve">Fórmulas (valores fictícios)</t>
  </si>
  <si>
    <t xml:space="preserve">Exemplo de custo por MDC, frete até a usina, custo do transporte próprio e fechamento de transportador.</t>
  </si>
  <si>
    <t xml:space="preserve">autorizacao_ambiental</t>
  </si>
  <si>
    <t xml:space="preserve">REVISADA</t>
  </si>
  <si>
    <t xml:space="preserve">Autorização (DCF/DAIA): tipo, volume declarado, taxas, vínculos.</t>
  </si>
  <si>
    <t xml:space="preserve">autorizacao_movimento</t>
  </si>
  <si>
    <t xml:space="preserve">NOVA (sugerida)</t>
  </si>
  <si>
    <t xml:space="preserve">Baixas de saldo da autorização (transporte, venda, produção).</t>
  </si>
  <si>
    <t xml:space="preserve">inventario_florestal</t>
  </si>
  <si>
    <t xml:space="preserve">Totais e estatística do inventário, por lote.</t>
  </si>
  <si>
    <t xml:space="preserve">inventario_parcela</t>
  </si>
  <si>
    <t xml:space="preserve">NOVA (sugerida, opcional)</t>
  </si>
  <si>
    <t xml:space="preserve">Resultado de cada parcela amostral (opcional).</t>
  </si>
  <si>
    <t xml:space="preserve">inventario_talhao</t>
  </si>
  <si>
    <t xml:space="preserve">Volume de cada talhão em cada inventário.</t>
  </si>
  <si>
    <t xml:space="preserve">talhao</t>
  </si>
  <si>
    <t xml:space="preserve">Cadastro físico do talhão (área e geometria).</t>
  </si>
  <si>
    <t xml:space="preserve">plantio</t>
  </si>
  <si>
    <t xml:space="preserve">Cadastro do plantio (MG Florestas) e características.</t>
  </si>
  <si>
    <t xml:space="preserve">fazenda</t>
  </si>
  <si>
    <t xml:space="preserve">Imóvel rural (DCF item 3).</t>
  </si>
  <si>
    <t xml:space="preserve">proprietario</t>
  </si>
  <si>
    <t xml:space="preserve">Proprietário/possuidor do imóvel (DCF item 2).</t>
  </si>
  <si>
    <t xml:space="preserve">upc</t>
  </si>
  <si>
    <t xml:space="preserve">NOVA (sugerida, conferir com a tabela existente)</t>
  </si>
  <si>
    <t xml:space="preserve">Unidade de Produção de Carvão (DCF itens 6 e 7).</t>
  </si>
  <si>
    <t xml:space="preserve">colheita</t>
  </si>
  <si>
    <t xml:space="preserve">REVISADA (módulo futuro)</t>
  </si>
  <si>
    <t xml:space="preserve">Colheita (módulo futuro).</t>
  </si>
  <si>
    <t xml:space="preserve">transporte_lenha</t>
  </si>
  <si>
    <t xml:space="preserve">Viagens de lenha: volume, destino, custo.</t>
  </si>
  <si>
    <t xml:space="preserve">fornecedor</t>
  </si>
  <si>
    <t xml:space="preserve">Prestadores de serviço, produto e locação (agora com dados de pagamento).</t>
  </si>
  <si>
    <t xml:space="preserve">centro_custo</t>
  </si>
  <si>
    <t xml:space="preserve">NOVA (custos)</t>
  </si>
  <si>
    <t xml:space="preserve">Onde o custo é gasto (UPC, colheita, transporte próprio, administrativo).</t>
  </si>
  <si>
    <t xml:space="preserve">categoria_custo</t>
  </si>
  <si>
    <t xml:space="preserve">Plano de custos: grupos como combustível, salários, peças, consultoria.</t>
  </si>
  <si>
    <t xml:space="preserve">equipamento</t>
  </si>
  <si>
    <t xml:space="preserve">Caminhões, tratores e máquinas, para peças, manutenção e combustível.</t>
  </si>
  <si>
    <t xml:space="preserve">cliente</t>
  </si>
  <si>
    <t xml:space="preserve">Usina ou comprador, para a NF de saída.</t>
  </si>
  <si>
    <t xml:space="preserve">producao_carvao</t>
  </si>
  <si>
    <t xml:space="preserve">Carvão produzido na UPC (denominador do custo por MDC).</t>
  </si>
  <si>
    <t xml:space="preserve">lancamento_custo</t>
  </si>
  <si>
    <t xml:space="preserve">Custos diários: salários, alimentação, peças, manutenção, combustível, consultorias.</t>
  </si>
  <si>
    <t xml:space="preserve">lancamento_custo_rateio</t>
  </si>
  <si>
    <t xml:space="preserve">Divide um custo comum entre centros.</t>
  </si>
  <si>
    <t xml:space="preserve">expedicao_carvao</t>
  </si>
  <si>
    <t xml:space="preserve">Carga de carvão com NF de saída, descarga na usina e frete.</t>
  </si>
  <si>
    <t xml:space="preserve">fechamento_fornecedor</t>
  </si>
  <si>
    <t xml:space="preserve">Fechamento de pagamento do transportador (lenha ou frete de carvão).</t>
  </si>
  <si>
    <t xml:space="preserve">fechamento_item</t>
  </si>
  <si>
    <t xml:space="preserve">Viagens e cargas incluídas em cada fechamento.</t>
  </si>
  <si>
    <t xml:space="preserve">apuracao_custo</t>
  </si>
  <si>
    <t xml:space="preserve">Fechamento mensal do custo por MDC (UPC) e por MST/MDC (transporte próprio).</t>
  </si>
  <si>
    <t xml:space="preserve">apuracao_custo_item</t>
  </si>
  <si>
    <t xml:space="preserve">Composição da apuração por grupo de custo.</t>
  </si>
  <si>
    <t xml:space="preserve">Decisões em aberto</t>
  </si>
  <si>
    <t xml:space="preserve">Tema</t>
  </si>
  <si>
    <t xml:space="preserve">O que eu assumi</t>
  </si>
  <si>
    <t xml:space="preserve">O que você precisa confirmar</t>
  </si>
  <si>
    <t xml:space="preserve">Fator MST por m³</t>
  </si>
  <si>
    <t xml:space="preserve">Mantive 1,5 como padrão em transporte_lenha (valor da sua planilha), guardado em cada registro.</t>
  </si>
  <si>
    <t xml:space="preserve">O inventário de exemplo diz que a normatização do IEF é 0,77 MDC = 1,00 m³ = 1,39 st. Qual vale? Com 1,5 o volume em st fica cerca de 7,9% maior (aba Conferencia).</t>
  </si>
  <si>
    <t xml:space="preserve">Qual evento dá baixa no saldo</t>
  </si>
  <si>
    <t xml:space="preserve">Criei autorizacao_movimento, mas não defini as regras de baixa.</t>
  </si>
  <si>
    <t xml:space="preserve">Se a lenha que vai à UPC e o carvão produzido dela baixarem o saldo, o mesmo volume é contado duas vezes. Definir, por tipo de autorização, qual evento baixa.</t>
  </si>
  <si>
    <t xml:space="preserve">Uma autorização cobre um lote?</t>
  </si>
  <si>
    <t xml:space="preserve">O DCF tem um único bloco de inventário, uma área e um cadastro de plantio. Assumi 1 DCF = 1 inventário = 1 lote (codigo_inventario na autorização).</t>
  </si>
  <si>
    <t xml:space="preserve">Se uma mesma autorização cobrir vários lotes, será preciso uma tabela de ligação entre autorização e inventário.</t>
  </si>
  <si>
    <t xml:space="preserve">Número da autorização</t>
  </si>
  <si>
    <t xml:space="preserve">numero guarda o número emitido pelo órgão; numero_processo_sei guarda o processo do protocolo.</t>
  </si>
  <si>
    <t xml:space="preserve">O DCF de exemplo é a declaração protocolada: traz o processo SEI e o documento SEI, mas não o número da autorização emitida nem a validade. Qual número identifica o saldo no sistema de controle?</t>
  </si>
  <si>
    <t xml:space="preserve">Tabelas novas</t>
  </si>
  <si>
    <t xml:space="preserve">Sugeri fazenda, proprietario, plantio, upc, inventario_parcela, inventario_talhao e autorizacao_movimento.</t>
  </si>
  <si>
    <t xml:space="preserve">Algumas podem já existir no seu sistema (fazenda, upc). Conferir para não duplicar.</t>
  </si>
  <si>
    <t xml:space="preserve">Coordenadas</t>
  </si>
  <si>
    <t xml:space="preserve">Latitude/longitude em graus decimais nas tabelas gerais; UTM SIRGAS 2000 na UPC e nas parcelas, porque os documentos usam UTM.</t>
  </si>
  <si>
    <t xml:space="preserve">Confirmar se o sistema vai receber UTM ou GPS em graus (a conversão é simples).</t>
  </si>
  <si>
    <t xml:space="preserve">Custo da lenha na UPC</t>
  </si>
  <si>
    <t xml:space="preserve">Assumi que o custo da lenha na UPC é colheita + transporte (terceirizado pelos fechamentos e próprio pelo valor apurado).</t>
  </si>
  <si>
    <t xml:space="preserve">Entra também a madeira em pé? Se o imóvel é arrendado (como a Fazenda Mumbuca), há arrendamento ou royalty por m³ ou por ha? Se sim, criar categoria no grupo LENHA.</t>
  </si>
  <si>
    <t xml:space="preserve">Custo contado duas vezes</t>
  </si>
  <si>
    <t xml:space="preserve">Transporte próprio e colheita própria são centros intermediários: chegam à UPC só pelo valor apurado, nunca pelos lançamentos.</t>
  </si>
  <si>
    <t xml:space="preserve">Concordar com a regra, ou definir outra (por exemplo, lançar tudo direto na UPC e não apurar o transporte próprio separado).</t>
  </si>
  <si>
    <t xml:space="preserve">Frete do carvão: base e baixa</t>
  </si>
  <si>
    <t xml:space="preserve">base_pagamento_frete aceita SAIDA ou DESCARGA, com padrão DESCARGA. O frete só é quitado depois de DESCARREGADA.</t>
  </si>
  <si>
    <t xml:space="preserve">O contrato paga pelo volume da NF ou pelo recebido na usina? Há tolerância de quebra? O saldo da autorização baixa na NF de saída ou na descarga?</t>
  </si>
  <si>
    <t xml:space="preserve">Competência e caixa</t>
  </si>
  <si>
    <t xml:space="preserve">A apuração usa competencia (mês do custo). data_pagamento controla só o caixa.</t>
  </si>
  <si>
    <t xml:space="preserve">Confirmar se o custo por MDC deve ser por competência (como assumi) ou por data de pagamento.</t>
  </si>
  <si>
    <t xml:space="preserve">Salários e equipe</t>
  </si>
  <si>
    <t xml:space="preserve">Salários entram como lançamento por centro. Não criei cadastro de colaboradores nem folha.</t>
  </si>
  <si>
    <t xml:space="preserve">Precisa de cadastro de colaboradores, ponto ou horas por centro? Isso aumenta bastante o módulo.</t>
  </si>
  <si>
    <t xml:space="preserve">Estoque de carvão</t>
  </si>
  <si>
    <t xml:space="preserve">O custo por MDC usa o MDC produzido no mês.</t>
  </si>
  <si>
    <t xml:space="preserve">Se houver estoque no pátio da UPC, o custo do MDC vendido pode diferir do produzido. Precisa de controle de estoque?</t>
  </si>
  <si>
    <t xml:space="preserve">Pontos a conferir nos documentos</t>
  </si>
  <si>
    <t xml:space="preserve">•</t>
  </si>
  <si>
    <t xml:space="preserve">Os dois PDFs são de áreas diferentes: o DCF é da Fazenda Mumbuca (Curvelo, 57,58 ha, empresa Minas Empreendimentos) e o inventário é da Fazenda Salto (São José da Barra, 94,59 ha, FGMG Bio Energia). Usei cada um só como fonte de campos, sem cruzar volumes.</t>
  </si>
  <si>
    <t xml:space="preserve">No DCF, o intervalo de confiança do volume (6.269,90 a 6.894,28 m³) não é simétrico em torno da estimativa (6.614,35 m³). Um intervalo de confiança da média costuma ser simétrico. Vale perguntar ao engenheiro (aba Conferencia).</t>
  </si>
  <si>
    <t xml:space="preserve">No inventário da Fazenda Salto, na parcela 6 (árvores 61 a 92), as colunas AB e VTCC parecem deslocadas em relação ao CAP/DAP, e a numeração pula a árvore 80. Isso pode afetar o volume da parcela. É um bom argumento para o sistema calcular AB e volume a partir de CAP e altura, em vez de aceitar valores digitados.</t>
  </si>
  <si>
    <t xml:space="preserve">O DAP aparece em metros no inventário (0,1236) e em centímetros no DCF (29,35). Padronizei em centímetros.</t>
  </si>
  <si>
    <t xml:space="preserve">No DCF, o volume mensal da UPC (3.564 MDC) equivale a 3 ciclos, mas um ciclo de 8 dias daria 3,75 ciclos por mês.</t>
  </si>
  <si>
    <t xml:space="preserve">O número de fustes do DCF (7.585,0134) é fracionado, porque é estimativa por amostragem. Por isso numero_arvores deixou de ser inteiro.</t>
  </si>
  <si>
    <t xml:space="preserve">O que mudou em cada tabela</t>
  </si>
  <si>
    <t xml:space="preserve">← Leia-me</t>
  </si>
  <si>
    <t xml:space="preserve">TABELA</t>
  </si>
  <si>
    <t xml:space="preserve">CAMPO</t>
  </si>
  <si>
    <t xml:space="preserve">O QUE MUDOU</t>
  </si>
  <si>
    <t xml:space="preserve">POR QUÊ</t>
  </si>
  <si>
    <t xml:space="preserve">Geral</t>
  </si>
  <si>
    <t xml:space="preserve">Tipos de dados</t>
  </si>
  <si>
    <t xml:space="preserve">Padronizados em inteiro, texto, numérico, data e booleano. Volumes e valores deixam de ser double.</t>
  </si>
  <si>
    <t xml:space="preserve">Evita erro de arredondamento no saldo e nos custos. Também corrige "interio", "extrangeira" etc.</t>
  </si>
  <si>
    <t xml:space="preserve">latitude / longitude</t>
  </si>
  <si>
    <t xml:space="preserve">De texto para numérico (10,7).</t>
  </si>
  <si>
    <t xml:space="preserve">Permite cálculo e mapa. UTM só onde o documento exige.</t>
  </si>
  <si>
    <t xml:space="preserve">tipo</t>
  </si>
  <si>
    <t xml:space="preserve">Renomeado para modalidade (PRODUCAO ou NOTA_FISCAL).</t>
  </si>
  <si>
    <t xml:space="preserve">"Nota Fiscal" tem 11 caracteres e o campo tinha 10. Casa com o DCF 4.15.</t>
  </si>
  <si>
    <t xml:space="preserve">tipo_documento, origem_floresta</t>
  </si>
  <si>
    <t xml:space="preserve">Incluídos.</t>
  </si>
  <si>
    <t xml:space="preserve">Diferenciar DCF de DAIA e floresta plantada de nativa (sua observação original).</t>
  </si>
  <si>
    <t xml:space="preserve">codigo_upc</t>
  </si>
  <si>
    <t xml:space="preserve">Passou a aceitar nulo.</t>
  </si>
  <si>
    <t xml:space="preserve">Na modalidade NOTA_FISCAL a autorização não tem UPC.</t>
  </si>
  <si>
    <t xml:space="preserve">codigo_fazenda</t>
  </si>
  <si>
    <t xml:space="preserve">DCF 4.15: nota fiscal dispensa os dados do imóvel.</t>
  </si>
  <si>
    <t xml:space="preserve">codigo_inventario, base_volume</t>
  </si>
  <si>
    <t xml:space="preserve">Passou a aceitar nulo; incluído base_volume.</t>
  </si>
  <si>
    <t xml:space="preserve">DCF 4.14: o volume pode vir do Inventário Florestal de MG, sem inventário próprio.</t>
  </si>
  <si>
    <t xml:space="preserve">codigo_venda_lenha</t>
  </si>
  <si>
    <t xml:space="preserve">Removido.</t>
  </si>
  <si>
    <t xml:space="preserve">Uma autorização tem várias vendas; o vínculo fica na venda e no movimento. Também evitava dependência circular.</t>
  </si>
  <si>
    <t xml:space="preserve">produto</t>
  </si>
  <si>
    <t xml:space="preserve">De texto livre para lista fixa de códigos.</t>
  </si>
  <si>
    <t xml:space="preserve">Evita "Lenha", "lenha" e "LENHA" no mesmo banco.</t>
  </si>
  <si>
    <t xml:space="preserve">unidade_volume</t>
  </si>
  <si>
    <t xml:space="preserve">Incluído.</t>
  </si>
  <si>
    <t xml:space="preserve">MDC, MST e m³ convivem. Volume sem unidade é ambíguo.</t>
  </si>
  <si>
    <t xml:space="preserve">volume_base_m3, fator_conversao</t>
  </si>
  <si>
    <t xml:space="preserve">No DCF de exemplo: 6.614,35 m³ × 0,77 = 5.093,05 MDC declarados.</t>
  </si>
  <si>
    <t xml:space="preserve">volume_saldo, volume_consumido</t>
  </si>
  <si>
    <t xml:space="preserve">Removidos como campos gravados.</t>
  </si>
  <si>
    <t xml:space="preserve">Passam a ser calculados a partir de autorizacao_movimento. Campos gravados podem divergir dos transportes.</t>
  </si>
  <si>
    <t xml:space="preserve">taxa_florestal</t>
  </si>
  <si>
    <t xml:space="preserve">Substituído por numero_dae_expediente, numero_dae_florestal, valor_taxa_expediente, valor_taxa_florestal e motivo_isencao.</t>
  </si>
  <si>
    <t xml:space="preserve">O DCF tem dois DAEs. Responde sua dúvida: não precisa de tabela separada.</t>
  </si>
  <si>
    <t xml:space="preserve">status, data_emissao, numero_processo_sei, area_colher_ha, tipo_colheita, percentual_desbaste, numero_recibo_sinaflor, subbosque, area basal</t>
  </si>
  <si>
    <t xml:space="preserve">Itens do DCF (4.2, 4.10 a 4.13) e controle do ciclo de vida da autorização.</t>
  </si>
  <si>
    <t xml:space="preserve">Tabela inteira</t>
  </si>
  <si>
    <t xml:space="preserve">Nova.</t>
  </si>
  <si>
    <t xml:space="preserve">Registra cada baixa de saldo (transporte, venda, produção, ajuste) com histórico.</t>
  </si>
  <si>
    <t xml:space="preserve">codigo_fornecedor</t>
  </si>
  <si>
    <t xml:space="preserve">Passou a aceitar nulo; incluídos responsavel_tecnico, registro_conselho e numero_art.</t>
  </si>
  <si>
    <t xml:space="preserve">O inventário pode ser de equipe própria, e o DCF exige RT, conselho e ART (itens 5.1 a 5.3).</t>
  </si>
  <si>
    <t xml:space="preserve">data</t>
  </si>
  <si>
    <t xml:space="preserve">Renomeado para data_inventario.</t>
  </si>
  <si>
    <t xml:space="preserve">"data" é palavra reservada em vários bancos.</t>
  </si>
  <si>
    <t xml:space="preserve">area_ha</t>
  </si>
  <si>
    <t xml:space="preserve">Observação esclarecida: é a área do lote.</t>
  </si>
  <si>
    <t xml:space="preserve">A observação dizia "área total da floresta".</t>
  </si>
  <si>
    <t xml:space="preserve">lote</t>
  </si>
  <si>
    <t xml:space="preserve">Condição: único por empresa, fazenda e lote.</t>
  </si>
  <si>
    <t xml:space="preserve">Evita dois lotes com o mesmo nome na mesma fazenda.</t>
  </si>
  <si>
    <t xml:space="preserve">numero_arvore_ha, numero_arvores</t>
  </si>
  <si>
    <t xml:space="preserve">Primeiro renomeado para numero_arvores_ha; ambos de inteiro para numérico.</t>
  </si>
  <si>
    <t xml:space="preserve">O DCF traz 7.585,0134 fustes (estimativa fracionada).</t>
  </si>
  <si>
    <t xml:space="preserve">vmi</t>
  </si>
  <si>
    <t xml:space="preserve">Marcado como calculado.</t>
  </si>
  <si>
    <t xml:space="preserve">volume_total ÷ numero_arvores.</t>
  </si>
  <si>
    <t xml:space="preserve">Campos estatísticos, equações, fatores e parcelas</t>
  </si>
  <si>
    <t xml:space="preserve">Incluídos (DCF 5.6 a 5.15; inventário 2.1 a 2.8 e quadro 4).</t>
  </si>
  <si>
    <t xml:space="preserve">Registrar o que o engenheiro informou e os fatores st/m³ e MDC/m³ que ele usou.</t>
  </si>
  <si>
    <t xml:space="preserve">Nova, opcional.</t>
  </si>
  <si>
    <t xml:space="preserve">O inventário de exemplo detalha 20 parcelas; as estatísticas saem delas.</t>
  </si>
  <si>
    <t xml:space="preserve">Recebe o volume do talhão por inventário (saiu da tabela talhao).</t>
  </si>
  <si>
    <t xml:space="preserve">codigo_inventario, volume_total, numero_arvores, vmi</t>
  </si>
  <si>
    <t xml:space="preserve">Removidos.</t>
  </si>
  <si>
    <t xml:space="preserve">O talhão é uma área física e pode ter vários inventários ao longo do tempo.</t>
  </si>
  <si>
    <t xml:space="preserve">codigo_fazenda, codigo_plantio, identificacao, geometria</t>
  </si>
  <si>
    <t xml:space="preserve">Faltava a fazenda e um nome para o talhão. O DCF exige planilha de talhões e shapefile.</t>
  </si>
  <si>
    <t xml:space="preserve">plantio, fazenda, proprietario, upc</t>
  </si>
  <si>
    <t xml:space="preserve">Tabelas inteiras</t>
  </si>
  <si>
    <t xml:space="preserve">Novas (sugestões).</t>
  </si>
  <si>
    <t xml:space="preserve">Já eram citadas na sua planilha (codigo_fazenda, codigo_upc, plantio) mas não estavam descritas. Campos tirados do DCF.</t>
  </si>
  <si>
    <t xml:space="preserve">codigo_autorizacao</t>
  </si>
  <si>
    <t xml:space="preserve">Sem ele não há como deduzir o volume da autorização, regra que você definiu.</t>
  </si>
  <si>
    <t xml:space="preserve">codigo_inventario</t>
  </si>
  <si>
    <t xml:space="preserve">Trocado por codigo_talhao.</t>
  </si>
  <si>
    <t xml:space="preserve">A observação dizia "busca o talhão", mas o campo apontava para o inventário.</t>
  </si>
  <si>
    <t xml:space="preserve">codigo_upc, codigo_venda, tipo_transporte</t>
  </si>
  <si>
    <t xml:space="preserve">Destino da carga (UPC ou venda) e se o transporte é próprio ou terceirizado.</t>
  </si>
  <si>
    <t xml:space="preserve">Estava not null, mas você prevê transporte próprio, que não tem fornecedor.</t>
  </si>
  <si>
    <t xml:space="preserve">fator_conversao, valor_total</t>
  </si>
  <si>
    <t xml:space="preserve">Fator fica registrado em cada carga; valor_total soma o custo da viagem.</t>
  </si>
  <si>
    <t xml:space="preserve">data_transporte, placa_veiculo, motorista, numero_documento</t>
  </si>
  <si>
    <t xml:space="preserve">Dados básicos da viagem.</t>
  </si>
  <si>
    <t xml:space="preserve">tipo_fornecedor</t>
  </si>
  <si>
    <t xml:space="preserve">Substituído por fornece_servico, fornece_produto e fornece_locacao (booleanos).</t>
  </si>
  <si>
    <t xml:space="preserve">Uma coluna só guarda uma opção; você queria marcar várias (checkbox).</t>
  </si>
  <si>
    <t xml:space="preserve">Campos de identificação e contato</t>
  </si>
  <si>
    <t xml:space="preserve">Listados um a um.</t>
  </si>
  <si>
    <t xml:space="preserve">A planilha dizia "usar os campos da empresa"; assim a tabela fica completa por si.</t>
  </si>
  <si>
    <t xml:space="preserve">registro_conselho; observação da tabela</t>
  </si>
  <si>
    <t xml:space="preserve">Incluído o registro; observação corrigida.</t>
  </si>
  <si>
    <t xml:space="preserve">O engenheiro do inventário é fornecedor de serviço. A observação era cópia da de transporte_lenha.</t>
  </si>
  <si>
    <t xml:space="preserve">codigo_autorizacao, codigo_talhao, data_inicio, data_fim</t>
  </si>
  <si>
    <t xml:space="preserve">Mantém a rastreabilidade enquanto o módulo não é detalhado.</t>
  </si>
  <si>
    <t xml:space="preserve">area_ha, volume_total</t>
  </si>
  <si>
    <t xml:space="preserve">Observações corrigidas.</t>
  </si>
  <si>
    <t xml:space="preserve">Diziam "área do talhão" e "volume total da floresta" (cópia da tabela talhao).</t>
  </si>
  <si>
    <t xml:space="preserve">Módulo de custos</t>
  </si>
  <si>
    <t xml:space="preserve">centro_custo, categoria_custo, equipamento, cliente</t>
  </si>
  <si>
    <t xml:space="preserve">Tabelas novas.</t>
  </si>
  <si>
    <t xml:space="preserve">Base do custo por MDC: onde o custo é gasto, como é classificado, quais máquinas e quem compra.</t>
  </si>
  <si>
    <t xml:space="preserve">lancamento_custo, lancamento_custo_rateio</t>
  </si>
  <si>
    <t xml:space="preserve">Custos diários (salários, alimentação, peças, manutenção, combustível, consultorias) com rateio entre centros.</t>
  </si>
  <si>
    <t xml:space="preserve">Tabela nova (antes só citada como "a definir").</t>
  </si>
  <si>
    <t xml:space="preserve">Denominador do custo por MDC e evento de baixa do saldo.</t>
  </si>
  <si>
    <t xml:space="preserve">Tabela nova.</t>
  </si>
  <si>
    <t xml:space="preserve">Carga de carvão com NF de saída, descarga na usina e frete quitado só depois da descarga.</t>
  </si>
  <si>
    <t xml:space="preserve">fechamento_fornecedor, fechamento_item</t>
  </si>
  <si>
    <t xml:space="preserve">Fechamento para pagamento de transportador (lenha e frete de carvão), evitando pagar a mesma viagem duas vezes.</t>
  </si>
  <si>
    <t xml:space="preserve">apuracao_custo, apuracao_custo_item</t>
  </si>
  <si>
    <t xml:space="preserve">Custo por MDC na UPC e custo por MST/MDC do transporte próprio, congelado ao fechar o mês.</t>
  </si>
  <si>
    <t xml:space="preserve">codigo_equipamento, distancia_km, codigo_apuracao</t>
  </si>
  <si>
    <t xml:space="preserve">Identifica o caminhão próprio e liga a viagem ao custo apurado do transporte próprio.</t>
  </si>
  <si>
    <t xml:space="preserve">banco, agencia, conta, chave_pix</t>
  </si>
  <si>
    <t xml:space="preserve">Necessários para pagar os fechamentos.</t>
  </si>
  <si>
    <t xml:space="preserve">codigo_expedicao, tipo_movimento</t>
  </si>
  <si>
    <t xml:space="preserve">Incluído codigo_expedicao e o tipo EXPEDICAO_CARVAO.</t>
  </si>
  <si>
    <t xml:space="preserve">A saída de carvão com NF passa a dar baixa no saldo.</t>
  </si>
  <si>
    <t xml:space="preserve">Mapa dos documentos para as tabelas</t>
  </si>
  <si>
    <t xml:space="preserve">Exemplos copiados do DCF SEI 2100.01.0004432/2026-31 (Fazenda Mumbuca) e do inventário da Fazenda Salto.</t>
  </si>
  <si>
    <t xml:space="preserve">ITEM</t>
  </si>
  <si>
    <t xml:space="preserve">O QUE É</t>
  </si>
  <si>
    <t xml:space="preserve">EXEMPLO NO DOCUMENTO</t>
  </si>
  <si>
    <t xml:space="preserve">ONDE ENTRA NO SISTEMA</t>
  </si>
  <si>
    <t xml:space="preserve">DCF 1.1 a 1.9</t>
  </si>
  <si>
    <t xml:space="preserve">Responsável pela colheita (nome, CNPJ, endereço, contato)</t>
  </si>
  <si>
    <t xml:space="preserve">MINAS EMPREENDIMENTOS AGROFLORESTAIS LTDA, 09.303.562/0020-41</t>
  </si>
  <si>
    <t xml:space="preserve">empresa (já existe); autorizacao_ambiental.codigo_empresa</t>
  </si>
  <si>
    <t xml:space="preserve">DCF 1.10</t>
  </si>
  <si>
    <t xml:space="preserve">Registro de categoria no IEF</t>
  </si>
  <si>
    <t xml:space="preserve">95791/2026</t>
  </si>
  <si>
    <t xml:space="preserve">empresa (campo sugerido: registro_ief; a tabela empresa não foi enviada)</t>
  </si>
  <si>
    <t xml:space="preserve">DCF 1.11</t>
  </si>
  <si>
    <t xml:space="preserve">Responsável é o proprietário?</t>
  </si>
  <si>
    <t xml:space="preserve">Não</t>
  </si>
  <si>
    <t xml:space="preserve">Calculado: compara cpf_cnpj da empresa com o do proprietario</t>
  </si>
  <si>
    <t xml:space="preserve">DCF 2.1 a 2.9</t>
  </si>
  <si>
    <t xml:space="preserve">Proprietário/possuidor</t>
  </si>
  <si>
    <t xml:space="preserve">GUSTAVO PITANGUI DE SALVO</t>
  </si>
  <si>
    <t xml:space="preserve">DCF 3.1</t>
  </si>
  <si>
    <t xml:space="preserve">Identificação do imóvel</t>
  </si>
  <si>
    <t xml:space="preserve">FAZENDA MUMBUCA</t>
  </si>
  <si>
    <t xml:space="preserve">fazenda.nome</t>
  </si>
  <si>
    <t xml:space="preserve">DCF 3.2 a 3.5</t>
  </si>
  <si>
    <t xml:space="preserve">Endereço, localidade, município, CEP</t>
  </si>
  <si>
    <t xml:space="preserve">LMG 754 KM 04, ZONA RURAL, Curvelo, 35790-000</t>
  </si>
  <si>
    <t xml:space="preserve">fazenda.endereco, localidade, municipio, uf, cep</t>
  </si>
  <si>
    <t xml:space="preserve">DCF 3.6</t>
  </si>
  <si>
    <t xml:space="preserve">Referência do local</t>
  </si>
  <si>
    <t xml:space="preserve">No KM 04 da LMG 754 seguindo na estrada de São José das Lages...</t>
  </si>
  <si>
    <t xml:space="preserve">fazenda.referencia_local</t>
  </si>
  <si>
    <t xml:space="preserve">DCF 3.7</t>
  </si>
  <si>
    <t xml:space="preserve">Área total do imóvel</t>
  </si>
  <si>
    <t xml:space="preserve">666,3634 ha</t>
  </si>
  <si>
    <t xml:space="preserve">fazenda.area_total_ha</t>
  </si>
  <si>
    <t xml:space="preserve">DCF 3.8</t>
  </si>
  <si>
    <t xml:space="preserve">Imóvel arrendado</t>
  </si>
  <si>
    <t xml:space="preserve">Sim</t>
  </si>
  <si>
    <t xml:space="preserve">fazenda.arrendado</t>
  </si>
  <si>
    <t xml:space="preserve">DCF 3.9</t>
  </si>
  <si>
    <t xml:space="preserve">Recibo do CAR</t>
  </si>
  <si>
    <t xml:space="preserve">MG-3120904-0DA7.65FB.311B.454B.B799.2FAE.2C13.E1A2</t>
  </si>
  <si>
    <t xml:space="preserve">fazenda.numero_car</t>
  </si>
  <si>
    <t xml:space="preserve">DCF 4.1</t>
  </si>
  <si>
    <t xml:space="preserve">Cadastro de plantio (MG Florestas)</t>
  </si>
  <si>
    <t xml:space="preserve">PL66233-2026</t>
  </si>
  <si>
    <t xml:space="preserve">plantio.numero_cadastro; autorizacao_ambiental.codigo_plantio</t>
  </si>
  <si>
    <t xml:space="preserve">DCF 4.2</t>
  </si>
  <si>
    <t xml:space="preserve">Área total a ser colhida</t>
  </si>
  <si>
    <t xml:space="preserve">57,58 ha</t>
  </si>
  <si>
    <t xml:space="preserve">autorizacao_ambiental.area_colher_ha</t>
  </si>
  <si>
    <t xml:space="preserve">DCF 4.3</t>
  </si>
  <si>
    <t xml:space="preserve">Espaçamento de plantio</t>
  </si>
  <si>
    <t xml:space="preserve">20 x 4</t>
  </si>
  <si>
    <t xml:space="preserve">plantio.espacamento_entrelinha_m e espacamento_planta_m</t>
  </si>
  <si>
    <t xml:space="preserve">DCF 4.4</t>
  </si>
  <si>
    <t xml:space="preserve">Idade da floresta</t>
  </si>
  <si>
    <t xml:space="preserve">9 anos</t>
  </si>
  <si>
    <t xml:space="preserve">plantio.data_plantio (idade calculada) ou data_ultimo_corte</t>
  </si>
  <si>
    <t xml:space="preserve">DCF 4.5</t>
  </si>
  <si>
    <t xml:space="preserve">Rotação (corte)</t>
  </si>
  <si>
    <t xml:space="preserve">1º</t>
  </si>
  <si>
    <t xml:space="preserve">plantio.rotacao</t>
  </si>
  <si>
    <t xml:space="preserve">DCF 4.6</t>
  </si>
  <si>
    <t xml:space="preserve">Método de propagação</t>
  </si>
  <si>
    <t xml:space="preserve">Clonal</t>
  </si>
  <si>
    <t xml:space="preserve">plantio.metodo_propagacao</t>
  </si>
  <si>
    <t xml:space="preserve">DCF 4.7</t>
  </si>
  <si>
    <t xml:space="preserve">Número de fustes</t>
  </si>
  <si>
    <t xml:space="preserve">7.585,0134</t>
  </si>
  <si>
    <t xml:space="preserve">inventario_florestal.numero_arvores</t>
  </si>
  <si>
    <t xml:space="preserve">DCF 4.8 e 4.9</t>
  </si>
  <si>
    <t xml:space="preserve">DAP médio e altura média</t>
  </si>
  <si>
    <t xml:space="preserve">29,35 cm; 27,70 m</t>
  </si>
  <si>
    <t xml:space="preserve">inventario_florestal.dap_medio_cm, altura_media_m</t>
  </si>
  <si>
    <t xml:space="preserve">DCF 4.10</t>
  </si>
  <si>
    <t xml:space="preserve">Produto (nativa plantada) e recibo Sinaflor</t>
  </si>
  <si>
    <t xml:space="preserve">(em branco)</t>
  </si>
  <si>
    <t xml:space="preserve">autorizacao_ambiental.volume_declarado, numero_recibo_sinaflor</t>
  </si>
  <si>
    <t xml:space="preserve">DCF 4.11 e 4.12</t>
  </si>
  <si>
    <t xml:space="preserve">Sub-bosque nativo; área basal em Mata Atlântica</t>
  </si>
  <si>
    <t xml:space="preserve">Não; Não</t>
  </si>
  <si>
    <t xml:space="preserve">autorizacao_ambiental.possui_subbosque, area_basal_acima_10</t>
  </si>
  <si>
    <t xml:space="preserve">DCF 4.13</t>
  </si>
  <si>
    <t xml:space="preserve">Tipo de colheita</t>
  </si>
  <si>
    <t xml:space="preserve">Corte raso sem destoca</t>
  </si>
  <si>
    <t xml:space="preserve">autorizacao_ambiental.tipo_colheita</t>
  </si>
  <si>
    <t xml:space="preserve">DCF 4.14</t>
  </si>
  <si>
    <t xml:space="preserve">Volume declarado com base em inventário?</t>
  </si>
  <si>
    <t xml:space="preserve">autorizacao_ambiental.base_volume (INVENTARIO)</t>
  </si>
  <si>
    <t xml:space="preserve">DCF 4.15</t>
  </si>
  <si>
    <t xml:space="preserve">DCF de notas fiscais?</t>
  </si>
  <si>
    <t xml:space="preserve">autorizacao_ambiental.modalidade (PRODUCAO)</t>
  </si>
  <si>
    <t xml:space="preserve">DCF 5.1 a 5.3</t>
  </si>
  <si>
    <t xml:space="preserve">Responsável técnico, conselho, ART</t>
  </si>
  <si>
    <t xml:space="preserve">Roberto Dayrell Ribeiro da Glória; CREA 95.568; MG20254545206</t>
  </si>
  <si>
    <t xml:space="preserve">inventario_florestal.responsavel_tecnico, registro_conselho, numero_art</t>
  </si>
  <si>
    <t xml:space="preserve">DCF 5.4 e 5.5</t>
  </si>
  <si>
    <t xml:space="preserve">Telefone e e-mail do RT</t>
  </si>
  <si>
    <t xml:space="preserve">(38) 3722-3295; beto@nativameioambiente.com.br</t>
  </si>
  <si>
    <t xml:space="preserve">fornecedor (cadastro do engenheiro)</t>
  </si>
  <si>
    <t xml:space="preserve">DCF 5.6 e 5.7</t>
  </si>
  <si>
    <t xml:space="preserve">Método de amostragem; número de parcelas</t>
  </si>
  <si>
    <t xml:space="preserve">Casual Simples; 7</t>
  </si>
  <si>
    <t xml:space="preserve">inventario_florestal.metodo_amostragem, numero_parcelas</t>
  </si>
  <si>
    <t xml:space="preserve">DCF 5.8</t>
  </si>
  <si>
    <t xml:space="preserve">Área inventariada</t>
  </si>
  <si>
    <t xml:space="preserve">inventario_florestal.area_ha</t>
  </si>
  <si>
    <t xml:space="preserve">DCF 5.9</t>
  </si>
  <si>
    <t xml:space="preserve">Equação hipsométrica</t>
  </si>
  <si>
    <t xml:space="preserve">EXP(-10.441260 + 2.161541 * LN(D) + 0.898773 * LN(HT))</t>
  </si>
  <si>
    <t xml:space="preserve">inventario_florestal.equacao_hipsometrica</t>
  </si>
  <si>
    <t xml:space="preserve">DCF 5.10 a 5.12</t>
  </si>
  <si>
    <t xml:space="preserve">Erro-padrão, t de Student, erro de amostragem</t>
  </si>
  <si>
    <t xml:space="preserve">0,65; 1,94; 4,74%</t>
  </si>
  <si>
    <t xml:space="preserve">inventario_florestal.erro_padrao_media, t_student, erro_amostragem_pct</t>
  </si>
  <si>
    <t xml:space="preserve">DCF 5.13</t>
  </si>
  <si>
    <t xml:space="preserve">Volume total estimado</t>
  </si>
  <si>
    <t xml:space="preserve">6.614,35 m³</t>
  </si>
  <si>
    <t xml:space="preserve">inventario_florestal.volume_total; autorizacao_ambiental.volume_base_m3</t>
  </si>
  <si>
    <t xml:space="preserve">DCF 5.14 e 5.15</t>
  </si>
  <si>
    <t xml:space="preserve">Intervalo de confiança superior e inferior</t>
  </si>
  <si>
    <t xml:space="preserve">6.894,28; 6.269,90 m³</t>
  </si>
  <si>
    <t xml:space="preserve">inventario_florestal.ic_superior_m3, ic_inferior_m3</t>
  </si>
  <si>
    <t xml:space="preserve">DCF 6.1 a 6.4</t>
  </si>
  <si>
    <t xml:space="preserve">Responsável legal e endereço da UPC</t>
  </si>
  <si>
    <t xml:space="preserve">Rafael Pentagna Guimarães Salazar; Fazenda Mumbuca</t>
  </si>
  <si>
    <t xml:space="preserve">upc.responsavel_legal, codigo_fazenda</t>
  </si>
  <si>
    <t xml:space="preserve">DCF 6.12 a 6.15</t>
  </si>
  <si>
    <t xml:space="preserve">CAR, área e documento do imóvel da UPC (se local diferente)</t>
  </si>
  <si>
    <t xml:space="preserve">fazenda.numero_car, area_total_ha, tipo_documento_posse, numero_documento_posse</t>
  </si>
  <si>
    <t xml:space="preserve">DCF 7.1</t>
  </si>
  <si>
    <t xml:space="preserve">Coordenadas da UPC (UTM SIRGAS 2000)</t>
  </si>
  <si>
    <t xml:space="preserve">Y 7897888.65; X 574452.91</t>
  </si>
  <si>
    <t xml:space="preserve">upc.utm_norte, utm_leste</t>
  </si>
  <si>
    <t xml:space="preserve">DCF 7.2 e 7.3</t>
  </si>
  <si>
    <t xml:space="preserve">Número e tipo de fornos</t>
  </si>
  <si>
    <t xml:space="preserve">66; Forno Circular 5,5 JG</t>
  </si>
  <si>
    <t xml:space="preserve">upc.numero_fornos, tipo_forno</t>
  </si>
  <si>
    <t xml:space="preserve">DCF 7.4</t>
  </si>
  <si>
    <t xml:space="preserve">Dimensões dos fornos</t>
  </si>
  <si>
    <t xml:space="preserve">5,50 m; 2,20 m; 1,20 m</t>
  </si>
  <si>
    <t xml:space="preserve">upc.diametro_forno_m, altura_total_forno_m, altura_cilindro_m</t>
  </si>
  <si>
    <t xml:space="preserve">DCF 7.5 a 7.8</t>
  </si>
  <si>
    <t xml:space="preserve">Volume por forno, ciclo, volume por ciclo e por mês</t>
  </si>
  <si>
    <t xml:space="preserve">18 MDC; 8 dias; 1.188 MDC; 3.564 MDC</t>
  </si>
  <si>
    <t xml:space="preserve">upc.volume_forno_mdc, ciclo_producao_dias, volume_ciclo_mdc, volume_mes_mdc</t>
  </si>
  <si>
    <t xml:space="preserve">DCF 7.9</t>
  </si>
  <si>
    <t xml:space="preserve">Volume de carvão declarado</t>
  </si>
  <si>
    <t xml:space="preserve">5.093,05 MDC</t>
  </si>
  <si>
    <t xml:space="preserve">autorizacao_ambiental.volume_declarado (unidade_volume = MDC)</t>
  </si>
  <si>
    <t xml:space="preserve">DCF 8.1 e 8.2</t>
  </si>
  <si>
    <t xml:space="preserve">DAE taxa de expediente e taxa florestal</t>
  </si>
  <si>
    <t xml:space="preserve">2401370049924; 2901370028766</t>
  </si>
  <si>
    <t xml:space="preserve">autorizacao_ambiental.numero_dae_expediente, numero_dae_florestal</t>
  </si>
  <si>
    <t xml:space="preserve">DCF (fecho)</t>
  </si>
  <si>
    <t xml:space="preserve">Local e data da declaração</t>
  </si>
  <si>
    <t xml:space="preserve">Curvelo, 04/02/2026</t>
  </si>
  <si>
    <t xml:space="preserve">autorizacao_ambiental.data_emissao</t>
  </si>
  <si>
    <t xml:space="preserve">DCF (recibo)</t>
  </si>
  <si>
    <t xml:space="preserve">Processo SEI</t>
  </si>
  <si>
    <t xml:space="preserve">2100.01.0004432/2026-31</t>
  </si>
  <si>
    <t xml:space="preserve">autorizacao_ambiental.numero_processo_sei</t>
  </si>
  <si>
    <t xml:space="preserve">DCF (anexos)</t>
  </si>
  <si>
    <t xml:space="preserve">Planilha de talhões, shapefile, certificado IEF, procuração, comprovantes dos DAEs</t>
  </si>
  <si>
    <t xml:space="preserve">Documentos 132640034 a 132640040</t>
  </si>
  <si>
    <t xml:space="preserve">talhao (identificacao e geometria vêm da planilha e do shapefile). Os demais: futura tabela de anexos.</t>
  </si>
  <si>
    <t xml:space="preserve">Inventário florestal de exemplo (Fazenda Salto)</t>
  </si>
  <si>
    <t xml:space="preserve">Inv. 1.1</t>
  </si>
  <si>
    <t xml:space="preserve">Requerente, elaborador e executor</t>
  </si>
  <si>
    <t xml:space="preserve">FGMG Bio Energia; Tarcisio Mendonça Barbosa (CREA 55.741/D-MG); Minas Empreendimentos</t>
  </si>
  <si>
    <t xml:space="preserve">inventario_florestal.codigo_fornecedor, responsavel_tecnico, registro_conselho</t>
  </si>
  <si>
    <t xml:space="preserve">Inv. 1.2</t>
  </si>
  <si>
    <t xml:space="preserve">Propriedade, município, área inventariada, coordenadas</t>
  </si>
  <si>
    <t xml:space="preserve">Fazenda Salto; São José da Barra/MG; 94,59 ha; UTM 23K 367.379 / 7.712.770</t>
  </si>
  <si>
    <t xml:space="preserve">fazenda; inventario_florestal.area_ha</t>
  </si>
  <si>
    <t xml:space="preserve">Inv. 2.1</t>
  </si>
  <si>
    <t xml:space="preserve">Equação de volume e fator de forma</t>
  </si>
  <si>
    <t xml:space="preserve">AB × HT × FF; FF = 0,50</t>
  </si>
  <si>
    <t xml:space="preserve">inventario_florestal.equacao_volume, fator_forma</t>
  </si>
  <si>
    <t xml:space="preserve">Inv. 2.2 e 2.3</t>
  </si>
  <si>
    <t xml:space="preserve">Método e intensidade amostral</t>
  </si>
  <si>
    <t xml:space="preserve">Casual simples; 20 parcelas (1 a cada 4,72 ha)</t>
  </si>
  <si>
    <t xml:space="preserve">Inv. 2.8</t>
  </si>
  <si>
    <t xml:space="preserve">Tamanho e forma das parcelas</t>
  </si>
  <si>
    <t xml:space="preserve">18 x 20 m = 360 m²</t>
  </si>
  <si>
    <t xml:space="preserve">inventario_florestal.area_parcela_m2; inventario_parcela.area_parcela_m2</t>
  </si>
  <si>
    <t xml:space="preserve">Inv. resultado</t>
  </si>
  <si>
    <t xml:space="preserve">Talhões, espaçamento, árvores/ha, total de árvores</t>
  </si>
  <si>
    <t xml:space="preserve">2; 3,00 x 1,30 m; 2.565; 242.624</t>
  </si>
  <si>
    <t xml:space="preserve">inventario_florestal.numero_talhoes, numero_arvores_ha, numero_arvores; plantio.espacamento_*</t>
  </si>
  <si>
    <t xml:space="preserve">Volume por ha e total (m³ e st); idade</t>
  </si>
  <si>
    <t xml:space="preserve">305,89 m³/ha; 28.934,04 m³; 40.218,31 st; 14 a 16 anos</t>
  </si>
  <si>
    <t xml:space="preserve">inventario_florestal.volume_ha, volume_total; plantio.data_plantio</t>
  </si>
  <si>
    <t xml:space="preserve">Inv. dados por parcela</t>
  </si>
  <si>
    <t xml:space="preserve">Parcela, árvore, CAP, DAP, HT, AB, VTCC</t>
  </si>
  <si>
    <t xml:space="preserve">20 parcelas, árvore a árvore</t>
  </si>
  <si>
    <t xml:space="preserve">inventario_parcela (totais); inventario_arvore (futura)</t>
  </si>
  <si>
    <t xml:space="preserve">Inv. quadros 1 e 2</t>
  </si>
  <si>
    <t xml:space="preserve">Médias e volume por parcela e por ha</t>
  </si>
  <si>
    <t xml:space="preserve">Parcela 1: 12,3934 m³; 344,1647 m³/ha</t>
  </si>
  <si>
    <t xml:space="preserve">inventario_parcela.volume_parcela_m3, volume_ha_m3</t>
  </si>
  <si>
    <t xml:space="preserve">Inv. quadro 3</t>
  </si>
  <si>
    <t xml:space="preserve">Variância, desvio, erro padrão, CV, erro de amostragem, IC</t>
  </si>
  <si>
    <t xml:space="preserve">5,4559; 2,3358; 0,5223; 21,20%; 8,19%; 26.564,35 a 31.303,73 m³</t>
  </si>
  <si>
    <t xml:space="preserve">inventario_florestal.erro_padrao_media, erro_amostragem_pct, ic_inferior_m3, ic_superior_m3</t>
  </si>
  <si>
    <t xml:space="preserve">Inv. quadro 4</t>
  </si>
  <si>
    <t xml:space="preserve">t de Student, probabilidade e fatores de conversão</t>
  </si>
  <si>
    <t xml:space="preserve">1,729; 90%; 0,77 MDC = 1,00 m³ = 1,39 st</t>
  </si>
  <si>
    <t xml:space="preserve">inventario_florestal.t_student, nivel_probabilidade, fator_mdc_m3, fator_st_m3</t>
  </si>
  <si>
    <t xml:space="preserve">Conferência com os números dos documentos</t>
  </si>
  <si>
    <t xml:space="preserve">Azul = número copiado do PDF. Preto = fórmula. Diferença = resultado calculado − valor no documento.</t>
  </si>
  <si>
    <t xml:space="preserve">VERIFICAÇÃO</t>
  </si>
  <si>
    <t xml:space="preserve">ENTRADA 1</t>
  </si>
  <si>
    <t xml:space="preserve">ENTRADA 2</t>
  </si>
  <si>
    <t xml:space="preserve">RESULTADO CALCULADO</t>
  </si>
  <si>
    <t xml:space="preserve">VALOR NO DOCUMENTO / ESPERADO</t>
  </si>
  <si>
    <t xml:space="preserve">DIFERENÇA</t>
  </si>
  <si>
    <t xml:space="preserve">LEITURA</t>
  </si>
  <si>
    <t xml:space="preserve">DCF: Fazenda Mumbuca (Curvelo)</t>
  </si>
  <si>
    <t xml:space="preserve">Carvão declarado (MDC) = volume de lenha (m³) × fator MDC/m³</t>
  </si>
  <si>
    <t xml:space="preserve">Confere: o item 7.9 sai de volume_base_m3 × fator_conversao.</t>
  </si>
  <si>
    <t xml:space="preserve">Capacidade da UPC por ciclo (MDC) = nº de fornos × volume por forno</t>
  </si>
  <si>
    <t xml:space="preserve">Confere com o item 7.7; volume_ciclo_mdc pode ser calculado.</t>
  </si>
  <si>
    <t xml:space="preserve">Ciclos por mês implícitos = volume por mês ÷ volume por ciclo</t>
  </si>
  <si>
    <t xml:space="preserve">O DCF usa 3 ciclos por mês, mas um ciclo de 8 dias permitiria 3,75 (30 ÷ 8). Definir se volume_mes_mdc é calculado ou informado.</t>
  </si>
  <si>
    <t xml:space="preserve">Volume por hectare (m³/ha) = volume total ÷ área inventariada</t>
  </si>
  <si>
    <t xml:space="preserve">Cerca de 114,9 m³/ha.</t>
  </si>
  <si>
    <t xml:space="preserve">Árvores por hectare = nº de fustes ÷ área colhida</t>
  </si>
  <si>
    <t xml:space="preserve">Cerca de 131,7 árvores/ha. O nº de fustes do DCF é fracionado (estimativa), por isso numero_arvores é numérico.</t>
  </si>
  <si>
    <t xml:space="preserve">Folga inferior do IC (m³) = estimativa − limite inferior</t>
  </si>
  <si>
    <t xml:space="preserve">Distância da estimativa até o limite inferior.</t>
  </si>
  <si>
    <t xml:space="preserve">Folga superior do IC (m³) = limite superior − estimativa</t>
  </si>
  <si>
    <t xml:space="preserve">As folgas são diferentes (a diferença aparece ao lado). Um IC da média costuma ser simétrico; vale pedir ao engenheiro para conferir os itens 5.13 a 5.15.</t>
  </si>
  <si>
    <t xml:space="preserve">Inventário: Fazenda Salto (São José da Barra)</t>
  </si>
  <si>
    <t xml:space="preserve">Volume total (m³) = m³/ha × área (ha)</t>
  </si>
  <si>
    <t xml:space="preserve">Confere.</t>
  </si>
  <si>
    <t xml:space="preserve">Volume em st = m³ × fator st/m³</t>
  </si>
  <si>
    <t xml:space="preserve">Confere (diferença de arredondamento).</t>
  </si>
  <si>
    <t xml:space="preserve">Volume em MDC = m³ × fator MDC/m³</t>
  </si>
  <si>
    <t xml:space="preserve">Sua planilha (transporte_lenha) × inventário</t>
  </si>
  <si>
    <t xml:space="preserve">Volume em st usando 1,5 MST/m³ (valor da sua planilha)</t>
  </si>
  <si>
    <t xml:space="preserve">Com 1,5 o volume em st fica maior do que o do inventário, que usa 1,39. Confirmar qual fator vale.</t>
  </si>
  <si>
    <t xml:space="preserve">Diferença percentual (1,5 contra 1,39)</t>
  </si>
  <si>
    <t xml:space="preserve">Cerca de +7,9% de volume em st.</t>
  </si>
  <si>
    <t xml:space="preserve">Fonte: valores digitados do DCF SEI 2100.01.0004432/2026-31 (itens 4.7, 5.13 a 5.15, 7.2, 7.5, 7.7, 7.8, 7.9) e do inventário florestal da Fazenda Salto (quadros 2 a 4). O fator 1,5 vem da sua planilha (tabela transporte_lenha).</t>
  </si>
  <si>
    <t xml:space="preserve">Exemplo de cálculo: custo por MDC, frete e fechamento</t>
  </si>
  <si>
    <t xml:space="preserve">ATENÇÃO: todos os valores em azul são FICTÍCIOS, só para mostrar como as fórmulas funcionam. Troque pelos seus números. Preto = fórmula.</t>
  </si>
  <si>
    <t xml:space="preserve">A. Custo da UPC por MDC (um mês)</t>
  </si>
  <si>
    <t xml:space="preserve">VALOR (R$)</t>
  </si>
  <si>
    <t xml:space="preserve">% DO TOTAL</t>
  </si>
  <si>
    <t xml:space="preserve">MDC produzido no mês (soma de producao_carvao)</t>
  </si>
  <si>
    <t xml:space="preserve">Lenha: colheita própria (lançamentos do centro Colheita)</t>
  </si>
  <si>
    <t xml:space="preserve">Lenha: transporte terceirizado (fechamentos)</t>
  </si>
  <si>
    <t xml:space="preserve">Lenha: transporte próprio (apurado em C)</t>
  </si>
  <si>
    <t xml:space="preserve">Mão de obra (salários e encargos)</t>
  </si>
  <si>
    <t xml:space="preserve">Alimentação</t>
  </si>
  <si>
    <t xml:space="preserve">Peças</t>
  </si>
  <si>
    <t xml:space="preserve">Manutenção de equipamentos</t>
  </si>
  <si>
    <t xml:space="preserve">Combustível (máquinas da UPC)</t>
  </si>
  <si>
    <t xml:space="preserve">Consultorias (rateio)</t>
  </si>
  <si>
    <t xml:space="preserve">Custo total da UPC</t>
  </si>
  <si>
    <t xml:space="preserve">Custo por MDC na UPC (R$/MDC) = custo total ÷ MDC produzido</t>
  </si>
  <si>
    <t xml:space="preserve">B. Frete do carvão até a usina</t>
  </si>
  <si>
    <t xml:space="preserve">MDC descarregado na usina (expedicao_carvao, status DESCARREGADA)</t>
  </si>
  <si>
    <t xml:space="preserve">Frete por MDC (R$/MDC, acordo com o transportador)</t>
  </si>
  <si>
    <t xml:space="preserve">Frete total a pagar (R$)</t>
  </si>
  <si>
    <t xml:space="preserve">Custo por MDC posto usina (R$/MDC) = custo na UPC + frete por MDC</t>
  </si>
  <si>
    <t xml:space="preserve">Premissa: o MDC entregue foi produzido no mesmo período.</t>
  </si>
  <si>
    <t xml:space="preserve">C. Custo do transporte próprio de lenha (um mês)</t>
  </si>
  <si>
    <t xml:space="preserve">Combustível dos caminhões</t>
  </si>
  <si>
    <t xml:space="preserve">Salário do motorista</t>
  </si>
  <si>
    <t xml:space="preserve">Manutenção dos caminhões</t>
  </si>
  <si>
    <t xml:space="preserve">Pneus e peças</t>
  </si>
  <si>
    <t xml:space="preserve">Custo total do transporte próprio</t>
  </si>
  <si>
    <t xml:space="preserve">MST transportado pelos caminhões próprios no mês</t>
  </si>
  <si>
    <t xml:space="preserve">Custo por MST (R$/MST), aplicado nas viagens próprias</t>
  </si>
  <si>
    <t xml:space="preserve">Fator MST por m³ (sua planilha usa 1,5; o inventário usa 1,39)</t>
  </si>
  <si>
    <t xml:space="preserve">Custo por m³ (R$/m³) = custo por MST × fator</t>
  </si>
  <si>
    <t xml:space="preserve">D. Fechamento de um transportador de lenha</t>
  </si>
  <si>
    <t xml:space="preserve">VIAGEM</t>
  </si>
  <si>
    <t xml:space="preserve">MST</t>
  </si>
  <si>
    <t xml:space="preserve">R$/MST</t>
  </si>
  <si>
    <t xml:space="preserve">BRUTO (R$)</t>
  </si>
  <si>
    <t xml:space="preserve">DESCONTO (R$)</t>
  </si>
  <si>
    <t xml:space="preserve">LÍQUIDO (R$)</t>
  </si>
  <si>
    <t xml:space="preserve">Viagem 1</t>
  </si>
  <si>
    <t xml:space="preserve">Viagem 2</t>
  </si>
  <si>
    <t xml:space="preserve">Viagem 3 (desconto por avaria)</t>
  </si>
  <si>
    <t xml:space="preserve">Totais do fechamento</t>
  </si>
  <si>
    <t xml:space="preserve">Adiantamento já pago ao transportador (R$)</t>
  </si>
  <si>
    <t xml:space="preserve">Valor a pagar (R$) = total líquido − adiantamento</t>
  </si>
  <si>
    <t xml:space="preserve">Como se liga ao banco de dados: A = apuracao_custo e apuracao_custo_item (centro UPC); B = expedicao_carvao; C = apuracao_custo (centro transporte próprio de lenha); D = fechamento_fornecedor e fechamento_item.</t>
  </si>
  <si>
    <t xml:space="preserve">Tabela</t>
  </si>
  <si>
    <t xml:space="preserve">Nome:</t>
  </si>
  <si>
    <t xml:space="preserve">Relacionamento</t>
  </si>
  <si>
    <t xml:space="preserve">empresa, usuarios, fazenda, upc, plantio, inventario_florestal, autorizacao_movimento (saldo), transporte_lenha, venda (a definir), producao_carvao (a definir)</t>
  </si>
  <si>
    <t xml:space="preserve">Observação</t>
  </si>
  <si>
    <t xml:space="preserve">Registra a autorização do órgão ambiental para colher, transportar, vender e consumir o material. Em MG: DCF (Declaração de Colheita de Florestas Plantadas e Produção de Carvão) para floresta plantada; DAIA (Documento Autorizativo para Intervenção Ambiental, emitido a partir da AIA) para floresta nativa. Carvão de floresta nativa é permitido em MG, mas a preferência é não consumir (risco de imagem); manejo florestal pode ser consumido sem ônus ambiental. Por isso origem_floresta fica visível no sistema.
Modalidades: PRODUCAO = vinculada a uma UPC; a lenha só pode ser transportada, vendida ou consumida naquela UPC (outra UPC exige outra autorização). NOTA_FISCAL = sem vínculo com UPC (e sem dados do imóvel): a lenha pode ir para UPC própria ou ser vendida; exige entrada no sistema para gerar a planilha protocolada no órgão.
O volume pode estar em MDC (carvão), MST ou m³ (lenha), conforme foi solicitado; por isso existe unidade_volume. O saldo NÃO é gravado aqui: é calculado pela soma dos movimentos (aba autorizacao_movimento).</t>
  </si>
  <si>
    <t xml:space="preserve">TIPO</t>
  </si>
  <si>
    <t xml:space="preserve">TAMANHO</t>
  </si>
  <si>
    <t xml:space="preserve">CONDIÇÃO</t>
  </si>
  <si>
    <t xml:space="preserve">OBSERVAÇÃO</t>
  </si>
  <si>
    <t xml:space="preserve">ORIGEM</t>
  </si>
  <si>
    <t xml:space="preserve">ALTERAÇÃO</t>
  </si>
  <si>
    <t xml:space="preserve">codigo</t>
  </si>
  <si>
    <t xml:space="preserve">inteiro</t>
  </si>
  <si>
    <t xml:space="preserve">-</t>
  </si>
  <si>
    <t xml:space="preserve">PK, unique</t>
  </si>
  <si>
    <t xml:space="preserve">Chave primária (autoincremento).</t>
  </si>
  <si>
    <t xml:space="preserve">Original</t>
  </si>
  <si>
    <t xml:space="preserve">codigo_empresa</t>
  </si>
  <si>
    <t xml:space="preserve">FK, not null</t>
  </si>
  <si>
    <t xml:space="preserve">Empresa dona do registro (sistema multiempresa).</t>
  </si>
  <si>
    <t xml:space="preserve">DCF 1.1/1.2</t>
  </si>
  <si>
    <t xml:space="preserve">codigo_usuario</t>
  </si>
  <si>
    <t xml:space="preserve">Usuário que cadastrou o registro.</t>
  </si>
  <si>
    <t xml:space="preserve">tipo_documento</t>
  </si>
  <si>
    <t xml:space="preserve">texto</t>
  </si>
  <si>
    <t xml:space="preserve">10</t>
  </si>
  <si>
    <t xml:space="preserve">not null</t>
  </si>
  <si>
    <t xml:space="preserve">DCF ou DAIA. Define quais campos se aplicam (DCF = floresta plantada; DAIA = nativa).</t>
  </si>
  <si>
    <t xml:space="preserve">Observação original</t>
  </si>
  <si>
    <t xml:space="preserve">origem_floresta</t>
  </si>
  <si>
    <t xml:space="preserve">20</t>
  </si>
  <si>
    <t xml:space="preserve">EXOTICA, NATIVA_PLANTADA ou NATIVA. Permite filtrar e alertar sobre consumo de nativa.</t>
  </si>
  <si>
    <t xml:space="preserve">DCF 4.10 / observação original</t>
  </si>
  <si>
    <t xml:space="preserve">modalidade</t>
  </si>
  <si>
    <t xml:space="preserve">15</t>
  </si>
  <si>
    <t xml:space="preserve">PRODUCAO ou NOTA_FISCAL. Corresponde ao DCF 4.15 ("DCF de notas fiscais? Sim" = NOTA_FISCAL). Substitui o campo "tipo": "Nota Fiscal" tem 11 caracteres e o campo tinha 10.</t>
  </si>
  <si>
    <t xml:space="preserve">numero</t>
  </si>
  <si>
    <t xml:space="preserve">30</t>
  </si>
  <si>
    <t xml:space="preserve">not null, unique (empresa + numero)</t>
  </si>
  <si>
    <t xml:space="preserve">Número da autorização emitido pelo órgão.</t>
  </si>
  <si>
    <t xml:space="preserve">numero_processo_sei</t>
  </si>
  <si>
    <t xml:space="preserve">null</t>
  </si>
  <si>
    <t xml:space="preserve">Processo SEI do protocolo (exemplo: 2100.01.0004432/2026-31).</t>
  </si>
  <si>
    <t xml:space="preserve">DCF (rodapé / recibo)</t>
  </si>
  <si>
    <t xml:space="preserve">FK, null</t>
  </si>
  <si>
    <t xml:space="preserve">Imóvel onde está o plantio. Obrigatório quando modalidade = PRODUCAO; nulo em NOTA_FISCAL (DCF 4.15 dispensa os dados do imóvel).</t>
  </si>
  <si>
    <t xml:space="preserve">DCF 3 e 4.15</t>
  </si>
  <si>
    <t xml:space="preserve">Obrigatório quando modalidade = PRODUCAO e o produto é carvão; nulo em NOTA_FISCAL.</t>
  </si>
  <si>
    <t xml:space="preserve">DCF 6 e 7</t>
  </si>
  <si>
    <t xml:space="preserve">codigo_plantio</t>
  </si>
  <si>
    <t xml:space="preserve">Cadastro do plantio no MG Florestas (DCF 4.1). Nulo em NOTA_FISCAL e em nativa não plantada.</t>
  </si>
  <si>
    <t xml:space="preserve">Inventário que embasou o volume. Nulo em NOTA_FISCAL ou quando base_volume = IFMG. Premissa: 1 autorização = 1 inventário (1 lote).</t>
  </si>
  <si>
    <t xml:space="preserve">DCF 4.14 e 5</t>
  </si>
  <si>
    <t xml:space="preserve">base_volume</t>
  </si>
  <si>
    <t xml:space="preserve">INVENTARIO ou IFMG (Inventário Florestal de Minas Gerais). Obrigatório em PRODUCAO.</t>
  </si>
  <si>
    <t xml:space="preserve">CARVAO_EXOTICA, CARVAO_NATIVO, LENHA ou MADEIRA. Lista fixa (tabela de domínio), não texto livre.</t>
  </si>
  <si>
    <t xml:space="preserve">3</t>
  </si>
  <si>
    <t xml:space="preserve">MDC, MST ou M3. Unidade em que a autorização foi emitida.</t>
  </si>
  <si>
    <t xml:space="preserve">volume_declarado</t>
  </si>
  <si>
    <t xml:space="preserve">numérico</t>
  </si>
  <si>
    <t xml:space="preserve">14,3</t>
  </si>
  <si>
    <t xml:space="preserve">Volume autorizado, na unidade_volume (DCF 7.9: 5.093,05 MDC; DCF 4.10 para lenha/madeira de nativa plantada). É o que abre o saldo.</t>
  </si>
  <si>
    <t xml:space="preserve">DCF 7.9 / 4.10</t>
  </si>
  <si>
    <t xml:space="preserve">volume_base_m3</t>
  </si>
  <si>
    <t xml:space="preserve">Volume de lenha em m³ que originou o declarado (DCF 5.13: 6.614,35 m³).</t>
  </si>
  <si>
    <t xml:space="preserve">fator_conversao</t>
  </si>
  <si>
    <t xml:space="preserve">8,4</t>
  </si>
  <si>
    <t xml:space="preserve">Fator entre volume_base_m3 e volume_declarado (ex.: 0,77 MDC por m³). Conferência: 6.614,35 × 0,77 = 5.093,05.</t>
  </si>
  <si>
    <t xml:space="preserve">Inventário (quadro 4)</t>
  </si>
  <si>
    <t xml:space="preserve">area_colher_ha</t>
  </si>
  <si>
    <t xml:space="preserve">12,4</t>
  </si>
  <si>
    <t xml:space="preserve">Área total a ser colhida (DCF 4.2: 57,58 ha). Deve bater com a soma dos talhões.</t>
  </si>
  <si>
    <t xml:space="preserve">tipo_colheita</t>
  </si>
  <si>
    <t xml:space="preserve">25</t>
  </si>
  <si>
    <t xml:space="preserve">CORTE_RASO_SEM_DESTOCA, CORTE_RASO_COM_DESTOCA, DESTOCA, CORTE_SELETIVO ou DESBASTE.</t>
  </si>
  <si>
    <t xml:space="preserve">percentual_desbaste</t>
  </si>
  <si>
    <t xml:space="preserve">5,2</t>
  </si>
  <si>
    <t xml:space="preserve">Só quando tipo_colheita = DESBASTE.</t>
  </si>
  <si>
    <t xml:space="preserve">numero_recibo_sinaflor</t>
  </si>
  <si>
    <t xml:space="preserve">Obrigatório quando origem_floresta = NATIVA_PLANTADA (IN Ibama 21/2014).</t>
  </si>
  <si>
    <t xml:space="preserve">possui_subbosque</t>
  </si>
  <si>
    <t xml:space="preserve">booleano</t>
  </si>
  <si>
    <t xml:space="preserve">Há sub-bosque nativo na área a explorar?</t>
  </si>
  <si>
    <t xml:space="preserve">DCF 4.11</t>
  </si>
  <si>
    <t xml:space="preserve">volume_subbosque_m3_ha</t>
  </si>
  <si>
    <t xml:space="preserve">10,2</t>
  </si>
  <si>
    <t xml:space="preserve">Só se possui_subbosque = verdadeiro.</t>
  </si>
  <si>
    <t xml:space="preserve">area_basal_acima_10</t>
  </si>
  <si>
    <t xml:space="preserve">Mata Atlântica: área basal superior a 10 m²/ha?</t>
  </si>
  <si>
    <t xml:space="preserve">DCF 4.12</t>
  </si>
  <si>
    <t xml:space="preserve">data_emissao</t>
  </si>
  <si>
    <t xml:space="preserve">Data da declaração/emissão (exemplo: 04/02/2026).</t>
  </si>
  <si>
    <t xml:space="preserve">data_vencimento</t>
  </si>
  <si>
    <t xml:space="preserve">Validade definida pelo órgão (não consta no formulário da DCF; vem da autorização emitida).</t>
  </si>
  <si>
    <t xml:space="preserve">status</t>
  </si>
  <si>
    <t xml:space="preserve">12</t>
  </si>
  <si>
    <t xml:space="preserve">not null, default PROTOCOLADA</t>
  </si>
  <si>
    <t xml:space="preserve">PROTOCOLADA, ATIVA, VENCIDA, ESGOTADA ou CANCELADA.</t>
  </si>
  <si>
    <t xml:space="preserve">Sugestão</t>
  </si>
  <si>
    <t xml:space="preserve">numero_dae_expediente</t>
  </si>
  <si>
    <t xml:space="preserve">DAE da taxa de expediente (exemplo: 2401370049924).</t>
  </si>
  <si>
    <t xml:space="preserve">DCF 8.1</t>
  </si>
  <si>
    <t xml:space="preserve">numero_dae_florestal</t>
  </si>
  <si>
    <t xml:space="preserve">DAE da taxa florestal ou PTA-RE (exemplo: 2901370028766).</t>
  </si>
  <si>
    <t xml:space="preserve">DCF 8.2</t>
  </si>
  <si>
    <t xml:space="preserve">valor_taxa_expediente</t>
  </si>
  <si>
    <t xml:space="preserve">12,2</t>
  </si>
  <si>
    <t xml:space="preserve">Valor pago da taxa de expediente.</t>
  </si>
  <si>
    <t xml:space="preserve">DCF 8</t>
  </si>
  <si>
    <t xml:space="preserve">valor_taxa_florestal</t>
  </si>
  <si>
    <t xml:space="preserve">Valor pago da taxa florestal. Responde sua dúvida: não precisa de tabela separada, basta o número e o valor dos 2 DAEs.</t>
  </si>
  <si>
    <t xml:space="preserve">Original (taxa_florestal)</t>
  </si>
  <si>
    <t xml:space="preserve">motivo_isencao</t>
  </si>
  <si>
    <t xml:space="preserve">100</t>
  </si>
  <si>
    <t xml:space="preserve">Preencher se houver isenção de taxa (o DCF pede para informar a isenção).</t>
  </si>
  <si>
    <t xml:space="preserve">observacao</t>
  </si>
  <si>
    <t xml:space="preserve">255</t>
  </si>
  <si>
    <t xml:space="preserve">Algum detalhe relevante.</t>
  </si>
  <si>
    <t xml:space="preserve">****</t>
  </si>
  <si>
    <t xml:space="preserve">Campos padrão do sistema, como nas outras tabelas (sugestão: data_cadastro, data_alteracao, ativo para exclusão lógica).</t>
  </si>
  <si>
    <t xml:space="preserve">Regras e cálculos</t>
  </si>
  <si>
    <t xml:space="preserve">• Saldo = volume_declarado − soma de autorizacao_movimento.volume_movimentado (view vw_saldo_autorizacao). volume_saldo e volume_consumido deixaram de ser campos.</t>
  </si>
  <si>
    <t xml:space="preserve">• Se modalidade = PRODUCAO: codigo_fazenda e base_volume obrigatórios; codigo_upc obrigatório quando o produto é carvão.</t>
  </si>
  <si>
    <t xml:space="preserve">• Se modalidade = NOTA_FISCAL: codigo_fazenda, codigo_upc, codigo_plantio e codigo_inventario ficam nulos.</t>
  </si>
  <si>
    <t xml:space="preserve">• volume_declarado ≈ volume_base_m3 × fator_conversao quando existir inventário.</t>
  </si>
  <si>
    <t xml:space="preserve">empresa, usuarios, autorizacao_ambiental, transporte_lenha, producao_carvao, expedicao_carvao, venda (a definir, venda de lenha)</t>
  </si>
  <si>
    <t xml:space="preserve">Cada baixa de saldo de uma autorização (transporte, venda, produção de carvão, ajuste). Mantém histórico e auditoria e evita guardar saldo em duplicidade. Atenção: é preciso definir qual evento dá baixa em cada tipo de autorização, para não baixar duas vezes o mesmo volume (a lenha que vai para a UPC e o carvão produzido a partir dela são o mesmo material).</t>
  </si>
  <si>
    <t xml:space="preserve">Padrão</t>
  </si>
  <si>
    <t xml:space="preserve">Autorização que está sendo baixada.</t>
  </si>
  <si>
    <t xml:space="preserve">tipo_movimento</t>
  </si>
  <si>
    <t xml:space="preserve">TRANSPORTE, VENDA, PRODUCAO_CARVAO, EXPEDICAO_CARVAO, AJUSTE ou ESTORNO.</t>
  </si>
  <si>
    <t xml:space="preserve">Observação original (autorização)</t>
  </si>
  <si>
    <t xml:space="preserve">data_movimento</t>
  </si>
  <si>
    <t xml:space="preserve">Data do evento.</t>
  </si>
  <si>
    <t xml:space="preserve">codigo_transporte</t>
  </si>
  <si>
    <t xml:space="preserve">Preenchido quando tipo_movimento = TRANSPORTE.</t>
  </si>
  <si>
    <t xml:space="preserve">codigo_venda</t>
  </si>
  <si>
    <t xml:space="preserve">Preenchido quando tipo_movimento = VENDA (venda de lenha; tabela a definir).</t>
  </si>
  <si>
    <t xml:space="preserve">codigo_producao</t>
  </si>
  <si>
    <t xml:space="preserve">Preenchido quando tipo_movimento = PRODUCAO_CARVAO (tabela producao_carvao).</t>
  </si>
  <si>
    <t xml:space="preserve">codigo_expedicao</t>
  </si>
  <si>
    <t xml:space="preserve">Preenchido quando tipo_movimento = EXPEDICAO_CARVAO (saída de carvão com NF).</t>
  </si>
  <si>
    <t xml:space="preserve">volume_original</t>
  </si>
  <si>
    <t xml:space="preserve">Volume na unidade do evento (ex.: MST medido na carga).</t>
  </si>
  <si>
    <t xml:space="preserve">unidade_original</t>
  </si>
  <si>
    <t xml:space="preserve">MDC, MST ou M3.</t>
  </si>
  <si>
    <t xml:space="preserve">Fator usado para levar o volume à unidade da autorização.</t>
  </si>
  <si>
    <t xml:space="preserve">volume_movimentado</t>
  </si>
  <si>
    <t xml:space="preserve">Volume baixado, na unidade_volume da autorização. Estorno = valor negativo.</t>
  </si>
  <si>
    <t xml:space="preserve">• Um, e somente um, entre codigo_transporte, codigo_venda, codigo_producao e codigo_expedicao preenchido (exceto AJUSTE e ESTORNO).</t>
  </si>
  <si>
    <t xml:space="preserve">• View vw_saldo_autorizacao: codigo_autorizacao, volume_declarado, volume_consumido (soma dos movimentos), volume_saldo (declarado − consumido), percentual_consumido.</t>
  </si>
  <si>
    <t xml:space="preserve">• Bloquear (ou alertar) quando o saldo ficar negativo. Alertar também perto do data_vencimento.</t>
  </si>
  <si>
    <t xml:space="preserve">empresa, usuarios, fornecedor (quem executou), fazenda, plantio, inventario_parcela, inventario_talhao. É referenciada por autorizacao_ambiental e colheita.</t>
  </si>
  <si>
    <t xml:space="preserve">Resultado do inventário feito pelo engenheiro, um registro por lote (etapa de colheita). Guarda os totais do lote e os parâmetros estatísticos exigidos no DCF (item 5). As medições por parcela ficam em inventario_parcela e o volume de cada talhão em inventario_talhao. Os campos que o sistema pode calcular estão marcados nas observações.</t>
  </si>
  <si>
    <t xml:space="preserve">Quem executou o inventário, quando terceirizado. Nulo se foi equipe própria.</t>
  </si>
  <si>
    <t xml:space="preserve">responsavel_tecnico</t>
  </si>
  <si>
    <t xml:space="preserve">Engenheiro florestal responsável (DCF 5.1). Texto guardado no registro, pois o documento precisa refletir quem assinou na época.</t>
  </si>
  <si>
    <t xml:space="preserve">DCF 5.1</t>
  </si>
  <si>
    <t xml:space="preserve">registro_conselho</t>
  </si>
  <si>
    <t xml:space="preserve">Registro no conselho de classe (DCF 5.2: CREA 95.568).</t>
  </si>
  <si>
    <t xml:space="preserve">DCF 5.2</t>
  </si>
  <si>
    <t xml:space="preserve">numero_art</t>
  </si>
  <si>
    <t xml:space="preserve">Anotação de Responsabilidade Técnica (DCF 5.3: MG20254545206).</t>
  </si>
  <si>
    <t xml:space="preserve">DCF 5.3</t>
  </si>
  <si>
    <t xml:space="preserve">Fazenda onde está o lote.</t>
  </si>
  <si>
    <t xml:space="preserve">Plantio inventariado (cadastro MG Florestas).</t>
  </si>
  <si>
    <t xml:space="preserve">Original (relacionamento)</t>
  </si>
  <si>
    <t xml:space="preserve">50</t>
  </si>
  <si>
    <t xml:space="preserve">not null, unique (empresa + fazenda + lote)</t>
  </si>
  <si>
    <t xml:space="preserve">Etapa da colheita (ex.: Lote 1, Lote 2). A floresta pode ser dividida em vários lotes, cada um com seu inventário.</t>
  </si>
  <si>
    <t xml:space="preserve">data_inventario</t>
  </si>
  <si>
    <t xml:space="preserve">Data do levantamento. Renomeado de "data" (palavra reservada em vários bancos). No inventário de exemplo consta só mês/ano (Dez/24).</t>
  </si>
  <si>
    <t xml:space="preserve">Área do LOTE inventariado, em hectares (DCF 5.8: 57,58 ha). Não é a área total da fazenda.</t>
  </si>
  <si>
    <t xml:space="preserve">DCF 5.8 / Inventário 1.2</t>
  </si>
  <si>
    <t xml:space="preserve">numero_talhoes</t>
  </si>
  <si>
    <t xml:space="preserve">Quantidade de talhões do lote (inventário de exemplo: 2).</t>
  </si>
  <si>
    <t xml:space="preserve">Inventário (resultado)</t>
  </si>
  <si>
    <t xml:space="preserve">especie</t>
  </si>
  <si>
    <t xml:space="preserve">60</t>
  </si>
  <si>
    <t xml:space="preserve">Espécie inventariada (ex.: Eucalyptus sp).</t>
  </si>
  <si>
    <t xml:space="preserve">metodo_amostragem</t>
  </si>
  <si>
    <t xml:space="preserve">CASUAL_SIMPLES, ESTRATIFICADA, SISTEMATICA... (DCF 5.6: Casual Simples).</t>
  </si>
  <si>
    <t xml:space="preserve">DCF 5.6 / Inventário 2.2</t>
  </si>
  <si>
    <t xml:space="preserve">numero_parcelas</t>
  </si>
  <si>
    <t xml:space="preserve">Intensidade amostral: número de parcelas (DCF 5.7: 7; inventário de exemplo: 20).</t>
  </si>
  <si>
    <t xml:space="preserve">DCF 5.7 / Inventário 2.3</t>
  </si>
  <si>
    <t xml:space="preserve">area_parcela_m2</t>
  </si>
  <si>
    <t xml:space="preserve">Área de cada parcela (inventário de exemplo: 360 m², retangular 18 x 20 m).</t>
  </si>
  <si>
    <t xml:space="preserve">Inventário 2.8</t>
  </si>
  <si>
    <t xml:space="preserve">equacao_volume</t>
  </si>
  <si>
    <t xml:space="preserve">200</t>
  </si>
  <si>
    <t xml:space="preserve">Equação de volume usada (inventário de exemplo: AB × HT × FF).</t>
  </si>
  <si>
    <t xml:space="preserve">Inventário 2.1</t>
  </si>
  <si>
    <t xml:space="preserve">fator_forma</t>
  </si>
  <si>
    <t xml:space="preserve">5,3</t>
  </si>
  <si>
    <t xml:space="preserve">Fator de forma médio (inventário de exemplo: 0,500).</t>
  </si>
  <si>
    <t xml:space="preserve">equacao_hipsometrica</t>
  </si>
  <si>
    <t xml:space="preserve">Equação hipsométrica, quando for o caso (DCF 5.9).</t>
  </si>
  <si>
    <t xml:space="preserve">latitude</t>
  </si>
  <si>
    <t xml:space="preserve">10,7</t>
  </si>
  <si>
    <t xml:space="preserve">Coordenada de localização em graus decimais. Antes era texto. Os documentos trazem UTM; converter na entrada.</t>
  </si>
  <si>
    <t xml:space="preserve">longitude</t>
  </si>
  <si>
    <t xml:space="preserve">Coordenada de localização em graus decimais. Antes era texto.</t>
  </si>
  <si>
    <t xml:space="preserve">volume_total</t>
  </si>
  <si>
    <t xml:space="preserve">Estimativa do volume total do lote, em m³ com casca (DCF 5.13: 6.614,35 m³).</t>
  </si>
  <si>
    <t xml:space="preserve">volume_ha</t>
  </si>
  <si>
    <t xml:space="preserve">12,3</t>
  </si>
  <si>
    <t xml:space="preserve">Volume médio por hectare. Validar: volume_total ÷ area_ha.</t>
  </si>
  <si>
    <t xml:space="preserve">numero_arvores_ha</t>
  </si>
  <si>
    <t xml:space="preserve">Árvores por hectare. Renomeado de numero_arvore_ha, para ficar igual aos demais.</t>
  </si>
  <si>
    <t xml:space="preserve">numero_arvores</t>
  </si>
  <si>
    <t xml:space="preserve">14,2</t>
  </si>
  <si>
    <t xml:space="preserve">Total estimado por amostragem; pode ser fracionado (o DCF 4.7 traz 7.585,0134). Por isso deixou de ser inteiro.</t>
  </si>
  <si>
    <t xml:space="preserve">dap_medio_cm</t>
  </si>
  <si>
    <t xml:space="preserve">6,2</t>
  </si>
  <si>
    <t xml:space="preserve">DAP médio em centímetros (DCF 4.8: 29,35). O inventário de exemplo traz DAP em metros (0,1236): padronizar em cm.</t>
  </si>
  <si>
    <t xml:space="preserve">DCF 4.8</t>
  </si>
  <si>
    <t xml:space="preserve">altura_media_m</t>
  </si>
  <si>
    <t xml:space="preserve">Altura média em metros (DCF 4.9: 27,70).</t>
  </si>
  <si>
    <t xml:space="preserve">DCF 4.9</t>
  </si>
  <si>
    <t xml:space="preserve">10,4</t>
  </si>
  <si>
    <t xml:space="preserve">Volume médio individual = volume_total ÷ numero_arvores. Calculado pelo sistema.</t>
  </si>
  <si>
    <t xml:space="preserve">fator_st_m3</t>
  </si>
  <si>
    <t xml:space="preserve">6,3</t>
  </si>
  <si>
    <t xml:space="preserve">Fator st por m³ adotado pelo engenheiro (inventário de exemplo: 1,39). Volume em st = volume_total × fator.</t>
  </si>
  <si>
    <t xml:space="preserve">fator_mdc_m3</t>
  </si>
  <si>
    <t xml:space="preserve">Fator MDC por m³ adotado (inventário de exemplo: 0,77).</t>
  </si>
  <si>
    <t xml:space="preserve">nivel_probabilidade</t>
  </si>
  <si>
    <t xml:space="preserve">Em % (inventário de exemplo e DCF: 90).</t>
  </si>
  <si>
    <t xml:space="preserve">Inventário 2.5</t>
  </si>
  <si>
    <t xml:space="preserve">t_student</t>
  </si>
  <si>
    <t xml:space="preserve">Valor de t de Student (DCF 5.11: 1,94).</t>
  </si>
  <si>
    <t xml:space="preserve">DCF 5.11</t>
  </si>
  <si>
    <t xml:space="preserve">erro_padrao_media</t>
  </si>
  <si>
    <t xml:space="preserve">Erro-padrão da média (DCF 5.10: 0,65).</t>
  </si>
  <si>
    <t xml:space="preserve">DCF 5.10</t>
  </si>
  <si>
    <t xml:space="preserve">erro_amostragem_pct</t>
  </si>
  <si>
    <t xml:space="preserve">Erro de amostragem em % (DCF 5.12: 4,74). Admissível no inventário de exemplo: 10%.</t>
  </si>
  <si>
    <t xml:space="preserve">DCF 5.12</t>
  </si>
  <si>
    <t xml:space="preserve">ic_inferior_m3</t>
  </si>
  <si>
    <t xml:space="preserve">Limite inferior do intervalo de confiança do volume da população (DCF 5.15).</t>
  </si>
  <si>
    <t xml:space="preserve">DCF 5.15</t>
  </si>
  <si>
    <t xml:space="preserve">ic_superior_m3</t>
  </si>
  <si>
    <t xml:space="preserve">Limite superior do intervalo de confiança do volume da população (DCF 5.14).</t>
  </si>
  <si>
    <t xml:space="preserve">DCF 5.14</t>
  </si>
  <si>
    <t xml:space="preserve">• Calculados/validados pelo sistema: volume_ha = volume_total ÷ area_ha; vmi = volume_total ÷ numero_arvores; volume em st = volume_total × fator_st_m3; volume em MDC = volume_total × fator_mdc_m3.</t>
  </si>
  <si>
    <t xml:space="preserve">• Alertar quando erro_amostragem_pct passar do erro admissível (10% no inventário de exemplo).</t>
  </si>
  <si>
    <t xml:space="preserve">• Os campos de equação e estatística são opcionais no cadastro: existem para registrar o que o engenheiro informou, não para o sistema refazer o inventário.</t>
  </si>
  <si>
    <t xml:space="preserve">empresa, usuarios, inventario_florestal</t>
  </si>
  <si>
    <t xml:space="preserve">Resultado de cada parcela amostral do inventário (o inventário de exemplo tem 20 parcelas; o DCF, 7). É a base dos parâmetros estatísticos: variância, erro-padrão e intervalo de confiança saem dos volumes das parcelas. Dados árvore a árvore (CAP, altura) podem virar uma tabela futura inventario_arvore: o sistema calcula DAP = CAP ÷ π, área basal = π × DAP² ÷ 4 e volume = AB × HT × FF, em vez de digitar.</t>
  </si>
  <si>
    <t xml:space="preserve">Inventário a que a parcela pertence.</t>
  </si>
  <si>
    <t xml:space="preserve">Inventário (dados por parcela)</t>
  </si>
  <si>
    <t xml:space="preserve">numero_parcela</t>
  </si>
  <si>
    <t xml:space="preserve">not null, unique (inventario + numero)</t>
  </si>
  <si>
    <t xml:space="preserve">Número da parcela (1, 2, 3...).</t>
  </si>
  <si>
    <t xml:space="preserve">Área da parcela (exemplo: 360 m²). Se vazio, vale a do inventário.</t>
  </si>
  <si>
    <t xml:space="preserve">utm_leste</t>
  </si>
  <si>
    <t xml:space="preserve">Coordenada X UTM SIRGAS 2000 (exemplo: 367.379).</t>
  </si>
  <si>
    <t xml:space="preserve">Inventário (coordenadas UTM)</t>
  </si>
  <si>
    <t xml:space="preserve">utm_norte</t>
  </si>
  <si>
    <t xml:space="preserve">Coordenada Y UTM SIRGAS 2000 (exemplo: 7.712.770).</t>
  </si>
  <si>
    <t xml:space="preserve">utm_fuso</t>
  </si>
  <si>
    <t xml:space="preserve">4</t>
  </si>
  <si>
    <t xml:space="preserve">Fuso UTM (exemplo: 23K).</t>
  </si>
  <si>
    <t xml:space="preserve">Árvores medidas na parcela (parcela 1 do exemplo: 84).</t>
  </si>
  <si>
    <t xml:space="preserve">DAP médio da parcela, em cm (parcela 1: 12,36 cm).</t>
  </si>
  <si>
    <t xml:space="preserve">Altura total média da parcela (parcela 1: 19,44 m).</t>
  </si>
  <si>
    <t xml:space="preserve">volume_parcela_m3</t>
  </si>
  <si>
    <t xml:space="preserve">10,5</t>
  </si>
  <si>
    <t xml:space="preserve">Soma do volume total com casca das árvores (parcela 1: 12,39340 m³).</t>
  </si>
  <si>
    <t xml:space="preserve">volume_ha_m3</t>
  </si>
  <si>
    <t xml:space="preserve">Calculado: volume_parcela_m3 ÷ area_parcela_m2 × 10.000.</t>
  </si>
  <si>
    <t xml:space="preserve">Inventário (quadro 2)</t>
  </si>
  <si>
    <t xml:space="preserve">• Se você não quiser esse nível de detalhe agora, pode ficar só com os totais em inventario_florestal.</t>
  </si>
  <si>
    <t xml:space="preserve">empresa, usuarios, inventario_florestal, talhao</t>
  </si>
  <si>
    <t xml:space="preserve">Volume de cada talhão em cada inventário. Substitui os campos volume_total, numero_arvores e vmi que estavam em talhao. Motivo: o talhão é uma área que existe independente do inventário e pode ser inventariada de novo no futuro; o resultado pertence ao inventário. Quando a amostragem não é estratificada (caso do inventário de exemplo), o volume do talhão pode ser volume_ha do inventário × área do talhão.</t>
  </si>
  <si>
    <t xml:space="preserve">Inventário.</t>
  </si>
  <si>
    <t xml:space="preserve">Original (talhao)</t>
  </si>
  <si>
    <t xml:space="preserve">codigo_talhao</t>
  </si>
  <si>
    <t xml:space="preserve">FK, not null, unique (inventario + talhao)</t>
  </si>
  <si>
    <t xml:space="preserve">Talhão.</t>
  </si>
  <si>
    <t xml:space="preserve">Área do talhão considerada neste inventário.</t>
  </si>
  <si>
    <t xml:space="preserve">Volume total do talhão, em m³.</t>
  </si>
  <si>
    <t xml:space="preserve">Calculado: volume_total ÷ area_ha.</t>
  </si>
  <si>
    <t xml:space="preserve">Total de árvores do talhão.</t>
  </si>
  <si>
    <t xml:space="preserve">Volume médio individual = volume_total ÷ numero_arvores. Calculado.</t>
  </si>
  <si>
    <t xml:space="preserve">• A soma de area_ha dos talhões do inventário deve bater com inventario_florestal.area_ha; a soma de volume_total, com inventario_florestal.volume_total.</t>
  </si>
  <si>
    <t xml:space="preserve">empresa, usuarios, fazenda, plantio, inventario_talhao, transporte_lenha, colheita</t>
  </si>
  <si>
    <t xml:space="preserve">Cadastro físico do talhão. Serve para saber o rendimento da floresta e a produção por hectare, individualizando áreas menores e tornando o levantamento mais preciso. No DCF, a planilha de talhões e o shapefile são anexos obrigatórios, por isso o talhão tem identificação e geometria. A produção de carvão e de lenha por talhão sai da soma de transporte_lenha e colheita por codigo_talhao; o volume inventariado, de inventario_talhao.</t>
  </si>
  <si>
    <t xml:space="preserve">Fazenda onde está o talhão.</t>
  </si>
  <si>
    <t xml:space="preserve">Plantio (cadastro MG Florestas) a que o talhão pertence.</t>
  </si>
  <si>
    <t xml:space="preserve">identificacao</t>
  </si>
  <si>
    <t xml:space="preserve">not null, unique (fazenda + identificacao)</t>
  </si>
  <si>
    <t xml:space="preserve">Nome ou código do talhão (ex.: T01), igual ao da planilha de talhões do DCF.</t>
  </si>
  <si>
    <t xml:space="preserve">DCF (anexo planilha de talhões)</t>
  </si>
  <si>
    <t xml:space="preserve">Área do talhão em hectares (do shapefile, quando houver).</t>
  </si>
  <si>
    <t xml:space="preserve">Ponto central do talhão. Antes era texto.</t>
  </si>
  <si>
    <t xml:space="preserve">geometria</t>
  </si>
  <si>
    <t xml:space="preserve">texto (GeoJSON)</t>
  </si>
  <si>
    <t xml:space="preserve">Polígono do talhão (do shapefile). Em PostgreSQL com PostGIS, usar o tipo geometry.</t>
  </si>
  <si>
    <t xml:space="preserve">DCF (anexo shapefile)</t>
  </si>
  <si>
    <t xml:space="preserve">• Removidos desta tabela: codigo_inventario, volume_total, numero_arvores e vmi (passam para inventario_talhao). O talhão não pertence a um único inventário.</t>
  </si>
  <si>
    <t xml:space="preserve">empresa, usuarios, fazenda, talhao, inventario_florestal, autorizacao_ambiental</t>
  </si>
  <si>
    <t xml:space="preserve">Cadastro do plantio no MG Florestas (DCF 4.1) com as características usadas na colheita (DCF 4.3 a 4.6). Sua planilha já citava "plantio" nos relacionamentos do inventário. A idade (DCF 4.4: 9 anos) é calculada: hoje − data_plantio, ou − data_ultimo_corte em talhadia.</t>
  </si>
  <si>
    <t xml:space="preserve">Fazenda do plantio.</t>
  </si>
  <si>
    <t xml:space="preserve">numero_cadastro</t>
  </si>
  <si>
    <t xml:space="preserve">unique (empresa + numero_cadastro)</t>
  </si>
  <si>
    <t xml:space="preserve">Número do cadastro no MG Florestas (DCF 4.1: PL66233-2026).</t>
  </si>
  <si>
    <t xml:space="preserve">motivo_dispensa</t>
  </si>
  <si>
    <t xml:space="preserve">Preencher quando o cadastro for dispensado (o DCF pede informar a dispensa).</t>
  </si>
  <si>
    <t xml:space="preserve">Espécie (ex.: Eucalyptus sp).</t>
  </si>
  <si>
    <t xml:space="preserve">origem</t>
  </si>
  <si>
    <t xml:space="preserve">EXOTICA ou NATIVA.</t>
  </si>
  <si>
    <t xml:space="preserve">metodo_propagacao</t>
  </si>
  <si>
    <t xml:space="preserve">CLONAL ou SEMINAL (DCF 4.6).</t>
  </si>
  <si>
    <t xml:space="preserve">espacamento_entrelinha_m</t>
  </si>
  <si>
    <t xml:space="preserve">Distância entre linhas, em metros (DCF 4.3 traz "20 x 4"; inventário de exemplo: 3,00 x 1,30).</t>
  </si>
  <si>
    <t xml:space="preserve">espacamento_planta_m</t>
  </si>
  <si>
    <t xml:space="preserve">Distância entre plantas na linha, em metros.</t>
  </si>
  <si>
    <t xml:space="preserve">data_plantio</t>
  </si>
  <si>
    <t xml:space="preserve">Base para calcular a idade da floresta.</t>
  </si>
  <si>
    <t xml:space="preserve">data_ultimo_corte</t>
  </si>
  <si>
    <t xml:space="preserve">Em talhadia, data do último corte (DCF 4.4).</t>
  </si>
  <si>
    <t xml:space="preserve">rotacao</t>
  </si>
  <si>
    <t xml:space="preserve">not null, default 1</t>
  </si>
  <si>
    <t xml:space="preserve">1 = primeiro corte, 2 = segundo, 3 = terceiro ou mais (DCF 4.5).</t>
  </si>
  <si>
    <t xml:space="preserve">Área do plantio.</t>
  </si>
  <si>
    <t xml:space="preserve">empresa, usuarios, proprietario, plantio, talhao, upc, inventario_florestal, autorizacao_ambiental</t>
  </si>
  <si>
    <t xml:space="preserve">Imóvel rural onde ocorre a colheita ou onde fica a UPC (DCF itens 3 e 6). Sua planilha já usa codigo_fazenda em várias tabelas, mas a tabela não estava descrita. Se ela já existe no sistema, aproveite só o que faltar.</t>
  </si>
  <si>
    <t xml:space="preserve">codigo_proprietario</t>
  </si>
  <si>
    <t xml:space="preserve">DCF 2</t>
  </si>
  <si>
    <t xml:space="preserve">nome</t>
  </si>
  <si>
    <t xml:space="preserve">Identificação do imóvel (DCF 3.1: FAZENDA MUMBUCA).</t>
  </si>
  <si>
    <t xml:space="preserve">endereco</t>
  </si>
  <si>
    <t xml:space="preserve">150</t>
  </si>
  <si>
    <t xml:space="preserve">DCF 3.2: LMG 754 KM 04.</t>
  </si>
  <si>
    <t xml:space="preserve">DCF 3.2</t>
  </si>
  <si>
    <t xml:space="preserve">localidade</t>
  </si>
  <si>
    <t xml:space="preserve">Complemento/localidade (DCF 3.3: ZONA RURAL).</t>
  </si>
  <si>
    <t xml:space="preserve">DCF 3.3</t>
  </si>
  <si>
    <t xml:space="preserve">municipio</t>
  </si>
  <si>
    <t xml:space="preserve">DCF 3.4: Curvelo.</t>
  </si>
  <si>
    <t xml:space="preserve">DCF 3.4</t>
  </si>
  <si>
    <t xml:space="preserve">uf</t>
  </si>
  <si>
    <t xml:space="preserve">2</t>
  </si>
  <si>
    <t xml:space="preserve">Sigla do estado.</t>
  </si>
  <si>
    <t xml:space="preserve">cep</t>
  </si>
  <si>
    <t xml:space="preserve">9</t>
  </si>
  <si>
    <t xml:space="preserve">DCF 3.5.</t>
  </si>
  <si>
    <t xml:space="preserve">DCF 3.5</t>
  </si>
  <si>
    <t xml:space="preserve">referencia_local</t>
  </si>
  <si>
    <t xml:space="preserve">Como chegar (DCF 3.6).</t>
  </si>
  <si>
    <t xml:space="preserve">area_total_ha</t>
  </si>
  <si>
    <t xml:space="preserve">Área total do imóvel (DCF 3.7: 666,3634 ha).</t>
  </si>
  <si>
    <t xml:space="preserve">arrendado</t>
  </si>
  <si>
    <t xml:space="preserve">not null, default falso</t>
  </si>
  <si>
    <t xml:space="preserve">Imóvel arrendado? (DCF 3.8).</t>
  </si>
  <si>
    <t xml:space="preserve">numero_car</t>
  </si>
  <si>
    <t xml:space="preserve">Recibo de inscrição no Cadastro Ambiental Rural (DCF 3.9).</t>
  </si>
  <si>
    <t xml:space="preserve">tipo_documento_posse</t>
  </si>
  <si>
    <t xml:space="preserve">Tipo do documento de propriedade ou posse (DCF 6.14), usado quando não houver CAR.</t>
  </si>
  <si>
    <t xml:space="preserve">DCF 6.14</t>
  </si>
  <si>
    <t xml:space="preserve">numero_documento_posse</t>
  </si>
  <si>
    <t xml:space="preserve">Número do documento de propriedade ou posse (DCF 6.14).</t>
  </si>
  <si>
    <t xml:space="preserve">empresa, usuarios, fazenda</t>
  </si>
  <si>
    <t xml:space="preserve">Proprietário ou possuidor do imóvel rural (DCF item 2). Mesma estrutura de contato da tabela empresa. O DCF 1.11 ("o responsável é o proprietário?") não precisa de campo: basta comparar o cpf_cnpj da empresa com o do proprietário.</t>
  </si>
  <si>
    <t xml:space="preserve">nome_razao_social</t>
  </si>
  <si>
    <t xml:space="preserve">DCF 2.1.</t>
  </si>
  <si>
    <t xml:space="preserve">DCF 2.1</t>
  </si>
  <si>
    <t xml:space="preserve">cpf_cnpj</t>
  </si>
  <si>
    <t xml:space="preserve">18</t>
  </si>
  <si>
    <t xml:space="preserve">not null, unique (empresa + cpf_cnpj)</t>
  </si>
  <si>
    <t xml:space="preserve">DCF 2.2.</t>
  </si>
  <si>
    <t xml:space="preserve">DCF 2.2</t>
  </si>
  <si>
    <t xml:space="preserve">DCF 2.3.</t>
  </si>
  <si>
    <t xml:space="preserve">DCF 2.3</t>
  </si>
  <si>
    <t xml:space="preserve">bairro</t>
  </si>
  <si>
    <t xml:space="preserve">DCF 2.4.</t>
  </si>
  <si>
    <t xml:space="preserve">DCF 2.4</t>
  </si>
  <si>
    <t xml:space="preserve">DCF 2.5.</t>
  </si>
  <si>
    <t xml:space="preserve">DCF 2.5</t>
  </si>
  <si>
    <t xml:space="preserve">DCF 2.6.</t>
  </si>
  <si>
    <t xml:space="preserve">DCF 2.6</t>
  </si>
  <si>
    <t xml:space="preserve">DCF 2.7.</t>
  </si>
  <si>
    <t xml:space="preserve">DCF 2.7</t>
  </si>
  <si>
    <t xml:space="preserve">telefone</t>
  </si>
  <si>
    <t xml:space="preserve">DCF 2.8.</t>
  </si>
  <si>
    <t xml:space="preserve">DCF 2.8</t>
  </si>
  <si>
    <t xml:space="preserve">email</t>
  </si>
  <si>
    <t xml:space="preserve">DCF 2.9.</t>
  </si>
  <si>
    <t xml:space="preserve">DCF 2.9</t>
  </si>
  <si>
    <t xml:space="preserve">empresa, usuarios, fazenda, autorizacao_ambiental, transporte_lenha, producao_carvao, expedicao_carvao, centro_custo</t>
  </si>
  <si>
    <t xml:space="preserve">Unidade de Produção de Carvão, a partir dos itens 6 e 7 do DCF. Sua planilha cita a tabela upc, mas ela não veio no arquivo: compare com a que você já tem e aproveite só os campos que faltarem.</t>
  </si>
  <si>
    <t xml:space="preserve">Identificação da UPC.</t>
  </si>
  <si>
    <t xml:space="preserve">Imóvel onde a UPC está (DCF 6.4 e 6.11). Se for o mesmo da colheita, vale "localização é a mesma" (DCF item 6).</t>
  </si>
  <si>
    <t xml:space="preserve">DCF 6</t>
  </si>
  <si>
    <t xml:space="preserve">responsavel_legal</t>
  </si>
  <si>
    <t xml:space="preserve">Responsável legal pela UPC (DCF 6.3).</t>
  </si>
  <si>
    <t xml:space="preserve">DCF 6.3</t>
  </si>
  <si>
    <t xml:space="preserve">Coordenada X, UTM SIRGAS 2000 (DCF 7.1: 574452.91). O formulário chama de "longitude", mas o valor é UTM.</t>
  </si>
  <si>
    <t xml:space="preserve">Coordenada Y, UTM SIRGAS 2000 (DCF 7.1: 7897888.65). O formulário chama de "latitude", mas o valor é UTM.</t>
  </si>
  <si>
    <t xml:space="preserve">Fuso UTM (não consta no DCF; confirmar).</t>
  </si>
  <si>
    <t xml:space="preserve">numero_fornos</t>
  </si>
  <si>
    <t xml:space="preserve">DCF 7.2: 66.</t>
  </si>
  <si>
    <t xml:space="preserve">DCF 7.2</t>
  </si>
  <si>
    <t xml:space="preserve">tipo_forno</t>
  </si>
  <si>
    <t xml:space="preserve">DCF 7.3: Forno Circular 5,5 JG.</t>
  </si>
  <si>
    <t xml:space="preserve">DCF 7.3</t>
  </si>
  <si>
    <t xml:space="preserve">diametro_forno_m</t>
  </si>
  <si>
    <t xml:space="preserve">DCF 7.4: 5,50 m.</t>
  </si>
  <si>
    <t xml:space="preserve">altura_total_forno_m</t>
  </si>
  <si>
    <t xml:space="preserve">DCF 7.4: 2,20 m.</t>
  </si>
  <si>
    <t xml:space="preserve">altura_cilindro_m</t>
  </si>
  <si>
    <t xml:space="preserve">DCF 7.4: 1,20 m.</t>
  </si>
  <si>
    <t xml:space="preserve">volume_forno_mdc</t>
  </si>
  <si>
    <t xml:space="preserve">Volume por forno, em MDC (DCF 7.5: 18).</t>
  </si>
  <si>
    <t xml:space="preserve">DCF 7.5</t>
  </si>
  <si>
    <t xml:space="preserve">ciclo_producao_dias</t>
  </si>
  <si>
    <t xml:space="preserve">DCF 7.6: 8 dias.</t>
  </si>
  <si>
    <t xml:space="preserve">DCF 7.6</t>
  </si>
  <si>
    <t xml:space="preserve">volume_ciclo_mdc</t>
  </si>
  <si>
    <t xml:space="preserve">Calculado: numero_fornos × volume_forno_mdc (DCF 7.7: 1.188 MDC).</t>
  </si>
  <si>
    <t xml:space="preserve">DCF 7.7</t>
  </si>
  <si>
    <t xml:space="preserve">volume_mes_mdc</t>
  </si>
  <si>
    <t xml:space="preserve">DCF 7.8: 3.564 MDC = 3 ciclos. Um ciclo de 8 dias permitiria 3,75; definir se é calculado ou informado.</t>
  </si>
  <si>
    <t xml:space="preserve">DCF 7.8</t>
  </si>
  <si>
    <t xml:space="preserve">empresa, usuarios, inventario_florestal, autorizacao_ambiental, talhao</t>
  </si>
  <si>
    <t xml:space="preserve">Deixada para outro momento, pois terá detalhamento maior e pode virar módulo separado. Mantive os campos originais, só com tipos corrigidos, e liguei à autorização e ao talhão para a rastreabilidade não ficar quebrada.</t>
  </si>
  <si>
    <t xml:space="preserve">Inventário do lote colhido.</t>
  </si>
  <si>
    <t xml:space="preserve">Autorização que cobre a colheita.</t>
  </si>
  <si>
    <t xml:space="preserve">Talhão colhido.</t>
  </si>
  <si>
    <t xml:space="preserve">data_inicio</t>
  </si>
  <si>
    <t xml:space="preserve">Início da colheita.</t>
  </si>
  <si>
    <t xml:space="preserve">data_fim</t>
  </si>
  <si>
    <t xml:space="preserve">Fim da colheita.</t>
  </si>
  <si>
    <t xml:space="preserve">Área colhida, em hectares (a observação original dizia "área total do talhão", copiada da tabela talhão).</t>
  </si>
  <si>
    <t xml:space="preserve">Coordenada de localização. Antes era texto.</t>
  </si>
  <si>
    <t xml:space="preserve">Volume colhido, em m³. Antes dizia "volume total da floresta".</t>
  </si>
  <si>
    <t xml:space="preserve">empresa, usuarios, autorizacao_ambiental, talhao, fornecedor, equipamento, upc, venda (a definir), autorizacao_movimento, apuracao_custo, fechamento_item</t>
  </si>
  <si>
    <t xml:space="preserve">Movimentação da lenha, tanto para venda quanto para abastecimento da UPC. Cada registro é uma viagem (carga) retirada do talhão, gerando o custo de transporte. Premissas: transporte terceirizado e transporte próprio. Cada carga dá baixa no saldo da autorização (via autorizacao_movimento), conforme a regra de baixa que você definir.</t>
  </si>
  <si>
    <t xml:space="preserve">Autorização cujo saldo será baixado. Faltava na versão original e é essencial para o controle de saldo.</t>
  </si>
  <si>
    <t xml:space="preserve">Observação (autorização)</t>
  </si>
  <si>
    <t xml:space="preserve">Talhão de onde a lenha saiu. Substitui codigo_inventario (o inventário não é o talhão).</t>
  </si>
  <si>
    <t xml:space="preserve">Destino quando a lenha abastece uma UPC própria.</t>
  </si>
  <si>
    <t xml:space="preserve">Original (observação)</t>
  </si>
  <si>
    <t xml:space="preserve">Destino quando a lenha é vendida a terceiros (tabela a definir). Um dos dois, UPC ou venda, é obrigatório.</t>
  </si>
  <si>
    <t xml:space="preserve">tipo_transporte</t>
  </si>
  <si>
    <t xml:space="preserve">PROPRIO ou TERCEIRIZADO.</t>
  </si>
  <si>
    <t xml:space="preserve">Transportador. Obrigatório só quando tipo_transporte = TERCEIRIZADO (antes era not null, o que impedia o transporte próprio).</t>
  </si>
  <si>
    <t xml:space="preserve">data_transporte</t>
  </si>
  <si>
    <t xml:space="preserve">Data da viagem.</t>
  </si>
  <si>
    <t xml:space="preserve">codigo_equipamento</t>
  </si>
  <si>
    <t xml:space="preserve">Caminhão próprio usado na viagem. Obrigatório quando tipo_transporte = PROPRIO.</t>
  </si>
  <si>
    <t xml:space="preserve">placa_veiculo</t>
  </si>
  <si>
    <t xml:space="preserve">Placa do caminhão (para terceirizado; no próprio vem do equipamento).</t>
  </si>
  <si>
    <t xml:space="preserve">distancia_km</t>
  </si>
  <si>
    <t xml:space="preserve">8,1</t>
  </si>
  <si>
    <t xml:space="preserve">Distância talhão até o destino, em km. Permite custo por km e conferir o frete.</t>
  </si>
  <si>
    <t xml:space="preserve">codigo_apuracao</t>
  </si>
  <si>
    <t xml:space="preserve">Apuração de custo do transporte próprio que precificou esta viagem (só em PROPRIO).</t>
  </si>
  <si>
    <t xml:space="preserve">motorista</t>
  </si>
  <si>
    <t xml:space="preserve">80</t>
  </si>
  <si>
    <t xml:space="preserve">Nome do motorista.</t>
  </si>
  <si>
    <t xml:space="preserve">numero_documento</t>
  </si>
  <si>
    <t xml:space="preserve">Nota fiscal, guia ou ticket que acompanha a carga.</t>
  </si>
  <si>
    <t xml:space="preserve">volume_mst</t>
  </si>
  <si>
    <t xml:space="preserve">Volume medido por carga, em MST.</t>
  </si>
  <si>
    <t xml:space="preserve">not null, default 1,5</t>
  </si>
  <si>
    <t xml:space="preserve">MST por m³. Valor da sua planilha: 1,5 (IEF). O inventário de exemplo usa 1,39 st por m³: confirmar qual vale. Guardado em cada registro para a futura medição em campo não alterar o histórico.</t>
  </si>
  <si>
    <t xml:space="preserve">volume_m3</t>
  </si>
  <si>
    <t xml:space="preserve">Calculado: volume_mst ÷ fator_conversao.</t>
  </si>
  <si>
    <t xml:space="preserve">valor_mst</t>
  </si>
  <si>
    <t xml:space="preserve">Valor por MST. Terceirizado: valor acordado com o fornecedor. Próprio: custo por MST vindo da apuração (apuracao_custo). Se o usuário informar o valor_m3, o sistema calcula este.</t>
  </si>
  <si>
    <t xml:space="preserve">valor_m3</t>
  </si>
  <si>
    <t xml:space="preserve">Valor por m³ = valor_mst × fator_conversao. Se o usuário informar este, o sistema calcula o valor_mst.</t>
  </si>
  <si>
    <t xml:space="preserve">valor_total</t>
  </si>
  <si>
    <t xml:space="preserve">Custo da viagem = volume_mst × valor_mst. Faltava para somar o custo de transporte.</t>
  </si>
  <si>
    <t xml:space="preserve">• Pelo menos um entre codigo_upc e codigo_venda preenchido.</t>
  </si>
  <si>
    <t xml:space="preserve">• Se tipo_transporte = TERCEIRIZADO, codigo_fornecedor é obrigatório.</t>
  </si>
  <si>
    <t xml:space="preserve">• volume_m3 = volume_mst ÷ fator_conversao; valor_m3 = valor_mst × fator_conversao; valor_total = volume_mst × valor_mst.</t>
  </si>
  <si>
    <t xml:space="preserve">• Terceirizado: a viagem é paga por fechamento_fornecedor (via fechamento_item). Uma viagem só pode estar em um fechamento ativo.</t>
  </si>
  <si>
    <t xml:space="preserve">• Próprio: enquanto a apuração do período não fecha, usar o último custo por MST apurado (provisório) e recalcular depois do fechamento.</t>
  </si>
  <si>
    <t xml:space="preserve">empresa, usuarios, inventario_florestal, transporte_lenha, expedicao_carvao, fechamento_fornecedor, lancamento_custo, upc</t>
  </si>
  <si>
    <t xml:space="preserve">Cadastro de quem presta serviço, vende produto ou loca equipamento: empreiteiros de colheita, transportadores terceirizados, engenheiros do inventário etc. A observação original era cópia da tabela transporte_lenha; foi corrigida.</t>
  </si>
  <si>
    <t xml:space="preserve">Nome ou razão social (mesma estrutura da tabela empresa).</t>
  </si>
  <si>
    <t xml:space="preserve">Original (campos da empresa)</t>
  </si>
  <si>
    <t xml:space="preserve">CPF ou CNPJ.</t>
  </si>
  <si>
    <t xml:space="preserve">Mesma estrutura da tabela empresa.</t>
  </si>
  <si>
    <t xml:space="preserve">fornece_servico</t>
  </si>
  <si>
    <t xml:space="preserve">Marcado quando presta serviço. Os 3 booleanos substituem tipo_fornecedor: uma coluna só guardaria uma opção, e você queria marcar várias (checkbox).</t>
  </si>
  <si>
    <t xml:space="preserve">Original (tipo_fornecedor)</t>
  </si>
  <si>
    <t xml:space="preserve">fornece_produto</t>
  </si>
  <si>
    <t xml:space="preserve">Marcado quando vende produto.</t>
  </si>
  <si>
    <t xml:space="preserve">fornece_locacao</t>
  </si>
  <si>
    <t xml:space="preserve">Marcado quando loca equipamento ou veículo.</t>
  </si>
  <si>
    <t xml:space="preserve">banco</t>
  </si>
  <si>
    <t xml:space="preserve">40</t>
  </si>
  <si>
    <t xml:space="preserve">Banco para pagamento dos fechamentos.</t>
  </si>
  <si>
    <t xml:space="preserve">agencia</t>
  </si>
  <si>
    <t xml:space="preserve">Agência.</t>
  </si>
  <si>
    <t xml:space="preserve">conta</t>
  </si>
  <si>
    <t xml:space="preserve">Conta com dígito.</t>
  </si>
  <si>
    <t xml:space="preserve">chave_pix</t>
  </si>
  <si>
    <t xml:space="preserve">Chave PIX para pagamento.</t>
  </si>
  <si>
    <t xml:space="preserve">CREA/CFTA, quando for responsável técnico de inventário (DCF 5.2). Telefone e e-mail do RT (DCF 5.4 e 5.5) vêm do próprio cadastro.</t>
  </si>
  <si>
    <t xml:space="preserve">empresa, usuarios, upc, lancamento_custo, lancamento_custo_rateio, equipamento, apuracao_custo</t>
  </si>
  <si>
    <t xml:space="preserve">Onde o custo é gasto. O custo por MDC é apurado nos centros do tipo UPC. Transporte próprio e colheita própria são centros intermediários: o custo deles chega à UPC pelo valor apurado (ex.: transporte_lenha.valor_total), nunca pelos lançamentos, para não contar duas vezes.</t>
  </si>
  <si>
    <t xml:space="preserve">not null, unique (empresa + nome)</t>
  </si>
  <si>
    <t xml:space="preserve">Ex.: UPC Mumbuca, Colheita própria, Caminhões próprios (lenha), Caminhões próprios (carvão), Administrativo.</t>
  </si>
  <si>
    <t xml:space="preserve">UPC, COLHEITA, TRANSPORTE_PROPRIO_LENHA, TRANSPORTE_PROPRIO_CARVAO, ADMINISTRATIVO ou OUTRO.</t>
  </si>
  <si>
    <t xml:space="preserve">UPC do centro, quando tipo = UPC.</t>
  </si>
  <si>
    <t xml:space="preserve">• Transporte de lenha e de carvão ficam em centros separados porque a unidade de apuração é diferente (MST e MDC).</t>
  </si>
  <si>
    <t xml:space="preserve">empresa, usuarios, lancamento_custo, apuracao_custo_item</t>
  </si>
  <si>
    <t xml:space="preserve">Plano de custos simples. O campo grupo é o que fecha a conta: a apuração soma por grupo e mostra quanto da UPC é lenha, mão de obra, combustível etc.</t>
  </si>
  <si>
    <t xml:space="preserve">Ex.: Salários, Refeições, Diesel, Peças de forno, Manutenção de trator, Consultoria ambiental.</t>
  </si>
  <si>
    <t xml:space="preserve">grupo</t>
  </si>
  <si>
    <t xml:space="preserve">LENHA, MAO_DE_OBRA, ALIMENTACAO, COMBUSTIVEL, PECAS, MANUTENCAO, CONSULTORIA, FRETE_CARVAO, ADMINISTRATIVO ou OUTROS.</t>
  </si>
  <si>
    <t xml:space="preserve">tipo_custo</t>
  </si>
  <si>
    <t xml:space="preserve">FIXO ou VARIAVEL (para análise).</t>
  </si>
  <si>
    <t xml:space="preserve">codigo_categoria_pai</t>
  </si>
  <si>
    <t xml:space="preserve">Subcategoria (ex.: Diesel dentro de Combustível).</t>
  </si>
  <si>
    <t xml:space="preserve">• Se houver arrendamento ou royalty por m³ de madeira, criar categoria no grupo LENHA (ver decisões em aberto no Leia-me).</t>
  </si>
  <si>
    <t xml:space="preserve">empresa, usuarios, centro_custo, lancamento_custo, transporte_lenha, expedicao_carvao</t>
  </si>
  <si>
    <t xml:space="preserve">Caminhões, tratores, carregadeiras, motosserras e veículos. Serve para atribuir peças, manutenção e combustível a cada equipamento e para identificar o caminhão próprio nas viagens.</t>
  </si>
  <si>
    <t xml:space="preserve">descricao</t>
  </si>
  <si>
    <t xml:space="preserve">Ex.: Caminhão Mercedes 2428, Carregadeira CAT.</t>
  </si>
  <si>
    <t xml:space="preserve">CAMINHAO, TRATOR, CARREGADEIRA, MOTOSSERRA, VEICULO_LEVE ou OUTRO.</t>
  </si>
  <si>
    <t xml:space="preserve">placa</t>
  </si>
  <si>
    <t xml:space="preserve">null, unique quando preenchida</t>
  </si>
  <si>
    <t xml:space="preserve">Placa, quando houver.</t>
  </si>
  <si>
    <t xml:space="preserve">propriedade</t>
  </si>
  <si>
    <t xml:space="preserve">PROPRIO ou ALUGADO.</t>
  </si>
  <si>
    <t xml:space="preserve">codigo_centro_custo</t>
  </si>
  <si>
    <t xml:space="preserve">Centro padrão do equipamento (ex.: caminhão no transporte próprio).</t>
  </si>
  <si>
    <t xml:space="preserve">capacidade_mst</t>
  </si>
  <si>
    <t xml:space="preserve">8,2</t>
  </si>
  <si>
    <t xml:space="preserve">Capacidade da carroceria para lenha, em MST.</t>
  </si>
  <si>
    <t xml:space="preserve">capacidade_mdc</t>
  </si>
  <si>
    <t xml:space="preserve">Capacidade da carroceria para carvão, em MDC.</t>
  </si>
  <si>
    <t xml:space="preserve">consumo_medio_km_l</t>
  </si>
  <si>
    <t xml:space="preserve">Referência para conferir os abastecimentos.</t>
  </si>
  <si>
    <t xml:space="preserve">empresa, usuarios, expedicao_carvao, venda (a definir)</t>
  </si>
  <si>
    <t xml:space="preserve">Quem compra o carvão ou a lenha (a usina). Mesma estrutura de contato de fornecedor e proprietario, com inscrição estadual para a NF de saída.</t>
  </si>
  <si>
    <t xml:space="preserve">Nome da usina ou comprador.</t>
  </si>
  <si>
    <t xml:space="preserve">CNPJ.</t>
  </si>
  <si>
    <t xml:space="preserve">inscricao_estadual</t>
  </si>
  <si>
    <t xml:space="preserve">Necessária na NF de saída.</t>
  </si>
  <si>
    <t xml:space="preserve">Endereço (local de descarga).</t>
  </si>
  <si>
    <t xml:space="preserve">empresa, usuarios, upc, autorizacao_ambiental, autorizacao_movimento</t>
  </si>
  <si>
    <t xml:space="preserve">Carvão produzido na UPC. É o denominador do custo por MDC e também o evento que pode dar baixa no saldo da autorização (conforme a regra que você definir). O inventário e o DCF trazem a referência de rendimento: 0,77 MDC por m³ de lenha.</t>
  </si>
  <si>
    <t xml:space="preserve">UPC que produziu.</t>
  </si>
  <si>
    <t xml:space="preserve">Autorização cuja lenha foi carbonizada.</t>
  </si>
  <si>
    <t xml:space="preserve">data_producao</t>
  </si>
  <si>
    <t xml:space="preserve">Data do registro (descarga dos fornos ou fechamento do ciclo).</t>
  </si>
  <si>
    <t xml:space="preserve">Fornos descarregados no registro.</t>
  </si>
  <si>
    <t xml:space="preserve">volume_mdc</t>
  </si>
  <si>
    <t xml:space="preserve">Carvão produzido, em MDC.</t>
  </si>
  <si>
    <t xml:space="preserve">volume_lenha_m3</t>
  </si>
  <si>
    <t xml:space="preserve">Lenha consumida, em m³.</t>
  </si>
  <si>
    <t xml:space="preserve">rendimento_mdc_m3</t>
  </si>
  <si>
    <t xml:space="preserve">Calculado: volume_mdc ÷ volume_lenha_m3. Referência do DCF: 0,77.</t>
  </si>
  <si>
    <t xml:space="preserve">• A soma de volume_mdc no mês é o volume_base da apuração da UPC. Comparar com upc.volume_mes_mdc (capacidade).</t>
  </si>
  <si>
    <t xml:space="preserve">• Alertar rendimento muito abaixo ou acima do esperado (indício de erro de medição ou desvio de lenha).</t>
  </si>
  <si>
    <t xml:space="preserve">empresa, usuarios, centro_custo, categoria_custo, fornecedor, equipamento, lancamento_custo_rateio</t>
  </si>
  <si>
    <t xml:space="preserve">Custos do dia a dia: salários, alimentação, peças, manutenção de equipamentos, combustível, consultorias e outros. Um lançamento por gasto. NÃO lançar aqui o transporte terceirizado de lenha nem o frete do carvão: eles vêm de transporte_lenha e expedicao_carvao e são pagos por fechamento.</t>
  </si>
  <si>
    <t xml:space="preserve">data_lancamento</t>
  </si>
  <si>
    <t xml:space="preserve">Dia do gasto.</t>
  </si>
  <si>
    <t xml:space="preserve">competencia</t>
  </si>
  <si>
    <t xml:space="preserve">Primeiro dia do mês a que o custo pertence. A apuração usa este campo.</t>
  </si>
  <si>
    <t xml:space="preserve">Onde o custo foi gasto.</t>
  </si>
  <si>
    <t xml:space="preserve">codigo_categoria</t>
  </si>
  <si>
    <t xml:space="preserve">Categoria (define o grupo: combustível, peças etc.).</t>
  </si>
  <si>
    <t xml:space="preserve">Quem recebeu. Nulo em salários.</t>
  </si>
  <si>
    <t xml:space="preserve">Equipamento que gerou o custo (peças, manutenção, combustível).</t>
  </si>
  <si>
    <t xml:space="preserve">O que foi.</t>
  </si>
  <si>
    <t xml:space="preserve">quantidade</t>
  </si>
  <si>
    <t xml:space="preserve">Litros, peças, refeições, horas.</t>
  </si>
  <si>
    <t xml:space="preserve">unidade</t>
  </si>
  <si>
    <t xml:space="preserve">L, un, refeição, h.</t>
  </si>
  <si>
    <t xml:space="preserve">valor_unitario</t>
  </si>
  <si>
    <t xml:space="preserve">Preço unitário.</t>
  </si>
  <si>
    <t xml:space="preserve">Valor do gasto. Igual a quantidade × valor_unitario quando ambos forem informados.</t>
  </si>
  <si>
    <t xml:space="preserve">NF, recibo ou comprovante.</t>
  </si>
  <si>
    <t xml:space="preserve">data_pagamento</t>
  </si>
  <si>
    <t xml:space="preserve">Nulo = a pagar. Controla só o caixa.</t>
  </si>
  <si>
    <t xml:space="preserve">rateado</t>
  </si>
  <si>
    <t xml:space="preserve">Verdadeiro quando o valor é dividido entre centros em lancamento_custo_rateio.</t>
  </si>
  <si>
    <t xml:space="preserve">• Custo por competência: a apuração soma pela competencia, não pela data de pagamento.</t>
  </si>
  <si>
    <t xml:space="preserve">• Se rateado = verdadeiro, a apuração lê lancamento_custo_rateio em vez do codigo_centro_custo do lançamento.</t>
  </si>
  <si>
    <t xml:space="preserve">• Salários: lançar por centro (mensal ou diário). Cadastro de colaboradores e folha de pagamento ficam fora desta versão.</t>
  </si>
  <si>
    <t xml:space="preserve">• Pagamento de fechamento de transporte é só caixa: não gera lançamento de custo.</t>
  </si>
  <si>
    <t xml:space="preserve">empresa, usuarios, lancamento_custo, centro_custo</t>
  </si>
  <si>
    <t xml:space="preserve">Divide um custo comum entre centros (ex.: consultoria que atende duas UPCs, ou um trator usado em duas áreas).</t>
  </si>
  <si>
    <t xml:space="preserve">codigo_lancamento</t>
  </si>
  <si>
    <t xml:space="preserve">Lançamento rateado.</t>
  </si>
  <si>
    <t xml:space="preserve">FK, not null, unique (lancamento + centro)</t>
  </si>
  <si>
    <t xml:space="preserve">Centro que recebe a parte.</t>
  </si>
  <si>
    <t xml:space="preserve">percentual</t>
  </si>
  <si>
    <t xml:space="preserve">7,4</t>
  </si>
  <si>
    <t xml:space="preserve">Parte do centro, em %.</t>
  </si>
  <si>
    <t xml:space="preserve">valor</t>
  </si>
  <si>
    <t xml:space="preserve">Calculado: valor_total do lançamento × percentual ÷ 100.</t>
  </si>
  <si>
    <t xml:space="preserve">• A soma dos percentuais de um lançamento deve ser 100.</t>
  </si>
  <si>
    <t xml:space="preserve">empresa, usuarios, upc, cliente, autorizacao_ambiental, autorizacao_movimento, fornecedor, equipamento, apuracao_custo, fechamento_item</t>
  </si>
  <si>
    <t xml:space="preserve">Cada carga de carvão que sai da UPC para a usina, com a NF de saída. O frete fica pendente até a carga ser descarregada na usina; só depois entra em fechamento_fornecedor e pode ser quitado. Sua primeira planilha já citava "expedição" nos relacionamentos.</t>
  </si>
  <si>
    <t xml:space="preserve">UPC de origem.</t>
  </si>
  <si>
    <t xml:space="preserve">codigo_cliente</t>
  </si>
  <si>
    <t xml:space="preserve">Usina de destino.</t>
  </si>
  <si>
    <t xml:space="preserve">Autorização cujo saldo é baixado (DCF de produção).</t>
  </si>
  <si>
    <t xml:space="preserve">numero_nf</t>
  </si>
  <si>
    <t xml:space="preserve">Número da NF de saída.</t>
  </si>
  <si>
    <t xml:space="preserve">serie_nf</t>
  </si>
  <si>
    <t xml:space="preserve">5</t>
  </si>
  <si>
    <t xml:space="preserve">Série da NF.</t>
  </si>
  <si>
    <t xml:space="preserve">chave_acesso</t>
  </si>
  <si>
    <t xml:space="preserve">44</t>
  </si>
  <si>
    <t xml:space="preserve">null, unique</t>
  </si>
  <si>
    <t xml:space="preserve">Chave de acesso da NF-e (44 dígitos).</t>
  </si>
  <si>
    <t xml:space="preserve">data_emissao_nf</t>
  </si>
  <si>
    <t xml:space="preserve">Data de emissão da NF.</t>
  </si>
  <si>
    <t xml:space="preserve">valor_nf</t>
  </si>
  <si>
    <t xml:space="preserve">Valor da NF.</t>
  </si>
  <si>
    <t xml:space="preserve">data_saida</t>
  </si>
  <si>
    <t xml:space="preserve">Data em que o caminhão saiu da UPC.</t>
  </si>
  <si>
    <t xml:space="preserve">volume_mdc_saida</t>
  </si>
  <si>
    <t xml:space="preserve">Volume que saiu, em MDC (o da NF).</t>
  </si>
  <si>
    <t xml:space="preserve">Transportador. Obrigatório se TERCEIRIZADO.</t>
  </si>
  <si>
    <t xml:space="preserve">Caminhão próprio. Obrigatório se PROPRIO.</t>
  </si>
  <si>
    <t xml:space="preserve">Placa (terceirizado).</t>
  </si>
  <si>
    <t xml:space="preserve">Motorista.</t>
  </si>
  <si>
    <t xml:space="preserve">Distância até a usina.</t>
  </si>
  <si>
    <t xml:space="preserve">not null, default EM_TRANSITO</t>
  </si>
  <si>
    <t xml:space="preserve">EM_TRANSITO, DESCARREGADA ou CANCELADA.</t>
  </si>
  <si>
    <t xml:space="preserve">data_descarga</t>
  </si>
  <si>
    <t xml:space="preserve">Obrigatória quando status = DESCARREGADA.</t>
  </si>
  <si>
    <t xml:space="preserve">numero_ticket_usina</t>
  </si>
  <si>
    <t xml:space="preserve">Ticket ou romaneio de recebimento da usina.</t>
  </si>
  <si>
    <t xml:space="preserve">volume_mdc_descarga</t>
  </si>
  <si>
    <t xml:space="preserve">Volume recebido pela usina, em MDC.</t>
  </si>
  <si>
    <t xml:space="preserve">peso_descarga_kg</t>
  </si>
  <si>
    <t xml:space="preserve">Peso recebido, se a usina pesar.</t>
  </si>
  <si>
    <t xml:space="preserve">base_pagamento_frete</t>
  </si>
  <si>
    <t xml:space="preserve">not null, default DESCARGA</t>
  </si>
  <si>
    <t xml:space="preserve">SAIDA ou DESCARGA: qual volume paga o frete, conforme o acordo.</t>
  </si>
  <si>
    <t xml:space="preserve">valor_frete_mdc</t>
  </si>
  <si>
    <t xml:space="preserve">Frete combinado por MDC (terceirizado).</t>
  </si>
  <si>
    <t xml:space="preserve">valor_frete</t>
  </si>
  <si>
    <t xml:space="preserve">Calculado: valor_frete_mdc × volume da base de pagamento. No próprio, vem da apuração.</t>
  </si>
  <si>
    <t xml:space="preserve">Apuração do transporte próprio de carvão que precificou a carga (só em PROPRIO).</t>
  </si>
  <si>
    <t xml:space="preserve">• Frete só entra em fechamento_fornecedor quando status = DESCARREGADA, com data_descarga e volume_mdc_descarga preenchidos.</t>
  </si>
  <si>
    <t xml:space="preserve">• A diferença entre volume_mdc_saida e volume_mdc_descarga é a quebra. Definir tolerância e quem arca com o excedente.</t>
  </si>
  <si>
    <t xml:space="preserve">• Transporte próprio não tem fechamento: o custo vem de apuracao_custo (centro TRANSPORTE_PROPRIO_CARVAO, unidade MDC).</t>
  </si>
  <si>
    <t xml:space="preserve">• Cancelamento da NF muda o status para CANCELADA e estorna a baixa do saldo em autorizacao_movimento.</t>
  </si>
  <si>
    <t xml:space="preserve">empresa, usuarios, fornecedor, fechamento_item</t>
  </si>
  <si>
    <t xml:space="preserve">Fechamento para pagar o fornecedor: reúne as viagens de lenha (transporte terceirizado) ou as cargas de carvão (frete) de um período e gera o valor a pagar. Fluxo: ABERTO, depois FECHADO (conferido), depois PAGO.</t>
  </si>
  <si>
    <t xml:space="preserve">Transportador.</t>
  </si>
  <si>
    <t xml:space="preserve">tipo_servico</t>
  </si>
  <si>
    <t xml:space="preserve">TRANSPORTE_LENHA ou FRETE_CARVAO.</t>
  </si>
  <si>
    <t xml:space="preserve">periodo_inicio</t>
  </si>
  <si>
    <t xml:space="preserve">Início do período fechado.</t>
  </si>
  <si>
    <t xml:space="preserve">periodo_fim</t>
  </si>
  <si>
    <t xml:space="preserve">Fim do período fechado.</t>
  </si>
  <si>
    <t xml:space="preserve">total_bruto</t>
  </si>
  <si>
    <t xml:space="preserve">Calculado: soma de valor_bruto dos itens.</t>
  </si>
  <si>
    <t xml:space="preserve">total_desconto</t>
  </si>
  <si>
    <t xml:space="preserve">not null, default 0</t>
  </si>
  <si>
    <t xml:space="preserve">Calculado: soma dos descontos dos itens (quebra, avaria, multa).</t>
  </si>
  <si>
    <t xml:space="preserve">valor_adiantamento</t>
  </si>
  <si>
    <t xml:space="preserve">Adiantamentos já pagos ao fornecedor, abatidos neste fechamento.</t>
  </si>
  <si>
    <t xml:space="preserve">total_liquido</t>
  </si>
  <si>
    <t xml:space="preserve">Calculado: total_bruto − total_desconto − valor_adiantamento. É o valor a pagar.</t>
  </si>
  <si>
    <t xml:space="preserve">not null, default ABERTO</t>
  </si>
  <si>
    <t xml:space="preserve">ABERTO, FECHADO, PAGO ou CANCELADO.</t>
  </si>
  <si>
    <t xml:space="preserve">data_fechamento</t>
  </si>
  <si>
    <t xml:space="preserve">Quando foi conferido e fechado.</t>
  </si>
  <si>
    <t xml:space="preserve">Vencimento do pagamento.</t>
  </si>
  <si>
    <t xml:space="preserve">Obrigatória quando status = PAGO.</t>
  </si>
  <si>
    <t xml:space="preserve">forma_pagamento</t>
  </si>
  <si>
    <t xml:space="preserve">PIX, TED, BOLETO ou ESPECIE.</t>
  </si>
  <si>
    <t xml:space="preserve">numero_documento_fornecedor</t>
  </si>
  <si>
    <t xml:space="preserve">NF, recibo ou RPA do transportador.</t>
  </si>
  <si>
    <t xml:space="preserve">• Só entram viagens TERCEIRIZADAS do mesmo fornecedor, dentro do período, e que ainda não estejam em outro fechamento ativo.</t>
  </si>
  <si>
    <t xml:space="preserve">• Depois de PAGO, travar os itens e os valores.</t>
  </si>
  <si>
    <t xml:space="preserve">• O pagamento é só caixa: o custo da viagem já está em transporte_lenha.valor_total ou expedicao_carvao.valor_frete. Não gerar lançamento de custo de novo.</t>
  </si>
  <si>
    <t xml:space="preserve">empresa, usuarios, fechamento_fornecedor, transporte_lenha, expedicao_carvao</t>
  </si>
  <si>
    <t xml:space="preserve">Uma linha por viagem de lenha ou por carga de carvão dentro do fechamento.</t>
  </si>
  <si>
    <t xml:space="preserve">codigo_fechamento</t>
  </si>
  <si>
    <t xml:space="preserve">Fechamento.</t>
  </si>
  <si>
    <t xml:space="preserve">FK, null, unique</t>
  </si>
  <si>
    <t xml:space="preserve">Viagem de lenha (quando tipo_servico = TRANSPORTE_LENHA). Única: a viagem só é paga uma vez.</t>
  </si>
  <si>
    <t xml:space="preserve">Carga de carvão (quando tipo_servico = FRETE_CARVAO). Única: o frete só é pago uma vez.</t>
  </si>
  <si>
    <t xml:space="preserve">MST ou MDC.</t>
  </si>
  <si>
    <t xml:space="preserve">volume</t>
  </si>
  <si>
    <t xml:space="preserve">Volume pago (MST da carga, ou MDC conforme a base do frete).</t>
  </si>
  <si>
    <t xml:space="preserve">Valor por unidade.</t>
  </si>
  <si>
    <t xml:space="preserve">valor_bruto</t>
  </si>
  <si>
    <t xml:space="preserve">Calculado: volume × valor_unitario.</t>
  </si>
  <si>
    <t xml:space="preserve">valor_desconto</t>
  </si>
  <si>
    <t xml:space="preserve">Desconto da linha.</t>
  </si>
  <si>
    <t xml:space="preserve">motivo_desconto</t>
  </si>
  <si>
    <t xml:space="preserve">Quebra, avaria, multa etc.</t>
  </si>
  <si>
    <t xml:space="preserve">valor_liquido</t>
  </si>
  <si>
    <t xml:space="preserve">Calculado: valor_bruto − valor_desconto.</t>
  </si>
  <si>
    <t xml:space="preserve">• Exatamente um entre codigo_transporte e codigo_expedicao preenchido.</t>
  </si>
  <si>
    <t xml:space="preserve">• Para carvão, só aceitar expedições com status = DESCARREGADA.</t>
  </si>
  <si>
    <t xml:space="preserve">empresa, usuarios, centro_custo, apuracao_custo_item, producao_carvao, transporte_lenha, expedicao_carvao</t>
  </si>
  <si>
    <t xml:space="preserve">Fechamento mensal de custo por centro. Na UPC dá o custo por MDC; no transporte próprio dá o custo por MST (lenha) ou por MDC (carvão), que precifica as viagens próprias. Quando FECHADA, guarda uma foto do período: lançamentos novos ou alterados depois não mudam o resultado.</t>
  </si>
  <si>
    <t xml:space="preserve">FK, not null, unique (centro + periodo_inicio)</t>
  </si>
  <si>
    <t xml:space="preserve">Centro apurado.</t>
  </si>
  <si>
    <t xml:space="preserve">Início do período (normalmente o dia 1).</t>
  </si>
  <si>
    <t xml:space="preserve">Fim do período.</t>
  </si>
  <si>
    <t xml:space="preserve">unidade_base</t>
  </si>
  <si>
    <t xml:space="preserve">MDC (UPC e transporte de carvão) ou MST (transporte de lenha).</t>
  </si>
  <si>
    <t xml:space="preserve">volume_base</t>
  </si>
  <si>
    <t xml:space="preserve">Volume do período: MDC produzido (UPC) ou MST/MDC transportado (transporte próprio).</t>
  </si>
  <si>
    <t xml:space="preserve">custo_total</t>
  </si>
  <si>
    <t xml:space="preserve">Calculado: soma dos itens.</t>
  </si>
  <si>
    <t xml:space="preserve">custo_unitario</t>
  </si>
  <si>
    <t xml:space="preserve">Calculado: custo_total ÷ volume_base (R$ por MDC ou por MST).</t>
  </si>
  <si>
    <t xml:space="preserve">not null, default ABERTA</t>
  </si>
  <si>
    <t xml:space="preserve">ABERTA ou FECHADA.</t>
  </si>
  <si>
    <t xml:space="preserve">Quando foi fechada.</t>
  </si>
  <si>
    <t xml:space="preserve">• UPC: volume_base = soma de producao_carvao.volume_mdc do período. Itens: lenha (colheita + transporte terceirizado dos fechamentos + transporte próprio apurado), lançamentos dos centros da UPC, rateios e frete do carvão.</t>
  </si>
  <si>
    <t xml:space="preserve">• Custo por MDC na UPC = custo_total sem o grupo FRETE_CARVAO ÷ volume_base. Custo por MDC posto usina = com o frete (frete dividido pelo MDC entregue).</t>
  </si>
  <si>
    <t xml:space="preserve">• Transporte próprio: volume_base = MST das viagens PROPRIAS; o custo_unitario é aplicado em transporte_lenha.valor_mst (codigo_apuracao).</t>
  </si>
  <si>
    <t xml:space="preserve">• Não somar na UPC os lançamentos dos centros de transporte próprio e colheita: eles entram pelo valor apurado, senão o custo é contado duas vezes.</t>
  </si>
  <si>
    <t xml:space="preserve">empresa, usuarios, apuracao_custo, categoria_custo</t>
  </si>
  <si>
    <t xml:space="preserve">Composição da apuração por grupo de custo. Permite ver quanto de cada R$/MDC é lenha, mão de obra, combustível, frete etc.</t>
  </si>
  <si>
    <t xml:space="preserve">Apuração.</t>
  </si>
  <si>
    <t xml:space="preserve">Categoria, quando a linha vem de lançamentos.</t>
  </si>
  <si>
    <t xml:space="preserve">Grupo da categoria (copiado para congelar o resultado).</t>
  </si>
  <si>
    <t xml:space="preserve">LANCAMENTO, RATEIO, TRANSPORTE_LENHA, FRETE_CARVAO ou COLHEITA.</t>
  </si>
  <si>
    <t xml:space="preserve">Valor da linha no período.</t>
  </si>
  <si>
    <t xml:space="preserve">Calculado: valor_total ÷ volume_base da apuração.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</si>
</sst>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"/>
    <numFmt numFmtId="167" formatCode="0.0%"/>
    <numFmt numFmtId="168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F0D9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F0D9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<Relationship Id="rId2" Type="http://schemas.openxmlformats.org/officeDocument/2006/relationships/hyperlink" Target="Tabelas_sistema_revisado_v2.xlsx" TargetMode="External"/><Relationship Id="rId3" Type="http://schemas.openxmlformats.org/officeDocument/2006/relationships/hyperlink" Target="Tabelas_sistema_revisado_v2.xlsx" TargetMode="External"/><Relationship Id="rId4" Type="http://schemas.openxmlformats.org/officeDocument/2006/relationships/hyperlink" Target="Tabelas_sistema_revisado_v2.xlsx" TargetMode="External"/><Relationship Id="rId5" Type="http://schemas.openxmlformats.org/officeDocument/2006/relationships/hyperlink" Target="Tabelas_sistema_revisado_v2.xlsx" TargetMode="External"/><Relationship Id="rId6" Type="http://schemas.openxmlformats.org/officeDocument/2006/relationships/hyperlink" Target="Tabelas_sistema_revisado_v2.xlsx" TargetMode="External"/><Relationship Id="rId7" Type="http://schemas.openxmlformats.org/officeDocument/2006/relationships/hyperlink" Target="Tabelas_sistema_revisado_v2.xlsx" TargetMode="External"/><Relationship Id="rId8" Type="http://schemas.openxmlformats.org/officeDocument/2006/relationships/hyperlink" Target="Tabelas_sistema_revisado_v2.xlsx" TargetMode="External"/><Relationship Id="rId9" Type="http://schemas.openxmlformats.org/officeDocument/2006/relationships/hyperlink" Target="Tabelas_sistema_revisado_v2.xlsx" TargetMode="External"/><Relationship Id="rId10" Type="http://schemas.openxmlformats.org/officeDocument/2006/relationships/hyperlink" Target="Tabelas_sistema_revisado_v2.xlsx" TargetMode="External"/><Relationship Id="rId11" Type="http://schemas.openxmlformats.org/officeDocument/2006/relationships/hyperlink" Target="Tabelas_sistema_revisado_v2.xlsx" TargetMode="External"/><Relationship Id="rId12" Type="http://schemas.openxmlformats.org/officeDocument/2006/relationships/hyperlink" Target="Tabelas_sistema_revisado_v2.xlsx" TargetMode="External"/><Relationship Id="rId13" Type="http://schemas.openxmlformats.org/officeDocument/2006/relationships/hyperlink" Target="Tabelas_sistema_revisado_v2.xlsx" TargetMode="External"/><Relationship Id="rId14" Type="http://schemas.openxmlformats.org/officeDocument/2006/relationships/hyperlink" Target="Tabelas_sistema_revisado_v2.xlsx" TargetMode="External"/><Relationship Id="rId15" Type="http://schemas.openxmlformats.org/officeDocument/2006/relationships/hyperlink" Target="Tabelas_sistema_revisado_v2.xlsx" TargetMode="External"/><Relationship Id="rId16" Type="http://schemas.openxmlformats.org/officeDocument/2006/relationships/hyperlink" Target="Tabelas_sistema_revisado_v2.xlsx" TargetMode="External"/><Relationship Id="rId17" Type="http://schemas.openxmlformats.org/officeDocument/2006/relationships/hyperlink" Target="Tabelas_sistema_revisado_v2.xlsx" TargetMode="External"/><Relationship Id="rId18" Type="http://schemas.openxmlformats.org/officeDocument/2006/relationships/hyperlink" Target="Tabelas_sistema_revisado_v2.xlsx" TargetMode="External"/><Relationship Id="rId19" Type="http://schemas.openxmlformats.org/officeDocument/2006/relationships/hyperlink" Target="Tabelas_sistema_revisado_v2.xlsx" TargetMode="External"/><Relationship Id="rId20" Type="http://schemas.openxmlformats.org/officeDocument/2006/relationships/hyperlink" Target="Tabelas_sistema_revisado_v2.xlsx" TargetMode="External"/><Relationship Id="rId21" Type="http://schemas.openxmlformats.org/officeDocument/2006/relationships/hyperlink" Target="Tabelas_sistema_revisado_v2.xlsx" TargetMode="External"/><Relationship Id="rId22" Type="http://schemas.openxmlformats.org/officeDocument/2006/relationships/hyperlink" Target="Tabelas_sistema_revisado_v2.xlsx" TargetMode="External"/><Relationship Id="rId23" Type="http://schemas.openxmlformats.org/officeDocument/2006/relationships/hyperlink" Target="Tabelas_sistema_revisado_v2.xlsx" TargetMode="External"/><Relationship Id="rId24" Type="http://schemas.openxmlformats.org/officeDocument/2006/relationships/hyperlink" Target="Tabelas_sistema_revisado_v2.xlsx" TargetMode="External"/><Relationship Id="rId25" Type="http://schemas.openxmlformats.org/officeDocument/2006/relationships/hyperlink" Target="Tabelas_sistema_revisado_v2.xlsx" TargetMode="External"/><Relationship Id="rId26" Type="http://schemas.openxmlformats.org/officeDocument/2006/relationships/hyperlink" Target="Tabelas_sistema_revisado_v2.xlsx" TargetMode="External"/><Relationship Id="rId27" Type="http://schemas.openxmlformats.org/officeDocument/2006/relationships/hyperlink" Target="Tabelas_sistema_revisado_v2.xlsx" TargetMode="External"/><Relationship Id="rId28" Type="http://schemas.openxmlformats.org/officeDocument/2006/relationships/hyperlink" Target="Tabelas_sistema_revisado_v2.xlsx" TargetMode="External"/><Relationship Id="rId29" Type="http://schemas.openxmlformats.org/officeDocument/2006/relationships/hyperlink" Target="Tabelas_sistema_revisado_v2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hyperlink" Target="Tabelas_sistema_revisado_v2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72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  <c r="D5" s="5"/>
    </row>
    <row r="6" customFormat="false" ht="15" hidden="false" customHeight="false" outlineLevel="0" collapsed="false">
      <c r="B6" s="6" t="s">
        <v>5</v>
      </c>
      <c r="C6" s="5" t="s">
        <v>6</v>
      </c>
      <c r="D6" s="5"/>
    </row>
    <row r="7" customFormat="false" ht="15" hidden="false" customHeight="false" outlineLevel="0" collapsed="false">
      <c r="B7" s="7" t="s">
        <v>7</v>
      </c>
      <c r="C7" s="5" t="s">
        <v>8</v>
      </c>
      <c r="D7" s="5"/>
    </row>
    <row r="8" customFormat="false" ht="28.5" hidden="false" customHeight="true" outlineLevel="0" collapsed="false">
      <c r="B8" s="2" t="s">
        <v>9</v>
      </c>
      <c r="C8" s="2"/>
      <c r="D8" s="2"/>
    </row>
    <row r="10" customFormat="false" ht="15" hidden="false" customHeight="false" outlineLevel="0" collapsed="false">
      <c r="A10" s="3" t="s">
        <v>10</v>
      </c>
    </row>
    <row r="11" customFormat="false" ht="15" hidden="false" customHeight="false" outlineLevel="0" collapsed="false">
      <c r="A11" s="8" t="s">
        <v>11</v>
      </c>
      <c r="B11" s="8" t="s">
        <v>12</v>
      </c>
      <c r="C11" s="8" t="s">
        <v>13</v>
      </c>
      <c r="D11" s="8" t="s">
        <v>14</v>
      </c>
    </row>
    <row r="12" customFormat="false" ht="15" hidden="false" customHeight="false" outlineLevel="0" collapsed="false">
      <c r="A12" s="9" t="n">
        <v>1</v>
      </c>
      <c r="B12" s="10" t="s">
        <v>15</v>
      </c>
      <c r="C12" s="11" t="s">
        <v>16</v>
      </c>
      <c r="D12" s="11" t="s">
        <v>17</v>
      </c>
    </row>
    <row r="13" customFormat="false" ht="15" hidden="false" customHeight="false" outlineLevel="0" collapsed="false">
      <c r="A13" s="9" t="n">
        <v>2</v>
      </c>
      <c r="B13" s="10" t="s">
        <v>18</v>
      </c>
      <c r="C13" s="11" t="s">
        <v>16</v>
      </c>
      <c r="D13" s="11" t="s">
        <v>19</v>
      </c>
    </row>
    <row r="14" customFormat="false" ht="15" hidden="false" customHeight="false" outlineLevel="0" collapsed="false">
      <c r="A14" s="9" t="n">
        <v>3</v>
      </c>
      <c r="B14" s="10" t="s">
        <v>20</v>
      </c>
      <c r="C14" s="11" t="s">
        <v>21</v>
      </c>
      <c r="D14" s="11" t="s">
        <v>22</v>
      </c>
    </row>
    <row r="15" customFormat="false" ht="23.85" hidden="false" customHeight="false" outlineLevel="0" collapsed="false">
      <c r="A15" s="9" t="n">
        <v>4</v>
      </c>
      <c r="B15" s="10" t="s">
        <v>23</v>
      </c>
      <c r="C15" s="11" t="s">
        <v>24</v>
      </c>
      <c r="D15" s="11" t="s">
        <v>25</v>
      </c>
    </row>
    <row r="16" customFormat="false" ht="15" hidden="false" customHeight="false" outlineLevel="0" collapsed="false">
      <c r="A16" s="9" t="n">
        <v>5</v>
      </c>
      <c r="B16" s="10" t="s">
        <v>26</v>
      </c>
      <c r="C16" s="11" t="s">
        <v>27</v>
      </c>
      <c r="D16" s="11" t="s">
        <v>28</v>
      </c>
    </row>
    <row r="17" customFormat="false" ht="15" hidden="false" customHeight="false" outlineLevel="0" collapsed="false">
      <c r="A17" s="9" t="n">
        <v>6</v>
      </c>
      <c r="B17" s="10" t="s">
        <v>29</v>
      </c>
      <c r="C17" s="11" t="s">
        <v>30</v>
      </c>
      <c r="D17" s="11" t="s">
        <v>31</v>
      </c>
    </row>
    <row r="18" customFormat="false" ht="15" hidden="false" customHeight="false" outlineLevel="0" collapsed="false">
      <c r="A18" s="9" t="n">
        <v>7</v>
      </c>
      <c r="B18" s="10" t="s">
        <v>32</v>
      </c>
      <c r="C18" s="11" t="s">
        <v>27</v>
      </c>
      <c r="D18" s="11" t="s">
        <v>33</v>
      </c>
    </row>
    <row r="19" customFormat="false" ht="15" hidden="false" customHeight="false" outlineLevel="0" collapsed="false">
      <c r="A19" s="9" t="n">
        <v>8</v>
      </c>
      <c r="B19" s="10" t="s">
        <v>34</v>
      </c>
      <c r="C19" s="11" t="s">
        <v>35</v>
      </c>
      <c r="D19" s="11" t="s">
        <v>36</v>
      </c>
    </row>
    <row r="20" customFormat="false" ht="15" hidden="false" customHeight="false" outlineLevel="0" collapsed="false">
      <c r="A20" s="9" t="n">
        <v>9</v>
      </c>
      <c r="B20" s="10" t="s">
        <v>37</v>
      </c>
      <c r="C20" s="11" t="s">
        <v>30</v>
      </c>
      <c r="D20" s="11" t="s">
        <v>38</v>
      </c>
    </row>
    <row r="21" customFormat="false" ht="15" hidden="false" customHeight="false" outlineLevel="0" collapsed="false">
      <c r="A21" s="9" t="n">
        <v>10</v>
      </c>
      <c r="B21" s="10" t="s">
        <v>39</v>
      </c>
      <c r="C21" s="11" t="s">
        <v>27</v>
      </c>
      <c r="D21" s="11" t="s">
        <v>40</v>
      </c>
    </row>
    <row r="22" customFormat="false" ht="15" hidden="false" customHeight="false" outlineLevel="0" collapsed="false">
      <c r="A22" s="9" t="n">
        <v>11</v>
      </c>
      <c r="B22" s="10" t="s">
        <v>41</v>
      </c>
      <c r="C22" s="11" t="s">
        <v>30</v>
      </c>
      <c r="D22" s="11" t="s">
        <v>42</v>
      </c>
    </row>
    <row r="23" customFormat="false" ht="15" hidden="false" customHeight="false" outlineLevel="0" collapsed="false">
      <c r="A23" s="9" t="n">
        <v>12</v>
      </c>
      <c r="B23" s="10" t="s">
        <v>43</v>
      </c>
      <c r="C23" s="11" t="s">
        <v>30</v>
      </c>
      <c r="D23" s="11" t="s">
        <v>44</v>
      </c>
    </row>
    <row r="24" customFormat="false" ht="15" hidden="false" customHeight="false" outlineLevel="0" collapsed="false">
      <c r="A24" s="9" t="n">
        <v>13</v>
      </c>
      <c r="B24" s="10" t="s">
        <v>45</v>
      </c>
      <c r="C24" s="11" t="s">
        <v>30</v>
      </c>
      <c r="D24" s="11" t="s">
        <v>46</v>
      </c>
    </row>
    <row r="25" customFormat="false" ht="15" hidden="false" customHeight="false" outlineLevel="0" collapsed="false">
      <c r="A25" s="9" t="n">
        <v>14</v>
      </c>
      <c r="B25" s="10" t="s">
        <v>47</v>
      </c>
      <c r="C25" s="11" t="s">
        <v>48</v>
      </c>
      <c r="D25" s="11" t="s">
        <v>49</v>
      </c>
    </row>
    <row r="26" customFormat="false" ht="15" hidden="false" customHeight="false" outlineLevel="0" collapsed="false">
      <c r="A26" s="9" t="n">
        <v>15</v>
      </c>
      <c r="B26" s="10" t="s">
        <v>50</v>
      </c>
      <c r="C26" s="11" t="s">
        <v>51</v>
      </c>
      <c r="D26" s="11" t="s">
        <v>52</v>
      </c>
    </row>
    <row r="27" customFormat="false" ht="15" hidden="false" customHeight="false" outlineLevel="0" collapsed="false">
      <c r="A27" s="9" t="n">
        <v>16</v>
      </c>
      <c r="B27" s="10" t="s">
        <v>53</v>
      </c>
      <c r="C27" s="11" t="s">
        <v>27</v>
      </c>
      <c r="D27" s="11" t="s">
        <v>54</v>
      </c>
    </row>
    <row r="28" customFormat="false" ht="15" hidden="false" customHeight="false" outlineLevel="0" collapsed="false">
      <c r="A28" s="9" t="n">
        <v>17</v>
      </c>
      <c r="B28" s="10" t="s">
        <v>55</v>
      </c>
      <c r="C28" s="11" t="s">
        <v>27</v>
      </c>
      <c r="D28" s="11" t="s">
        <v>56</v>
      </c>
    </row>
    <row r="29" customFormat="false" ht="15" hidden="false" customHeight="false" outlineLevel="0" collapsed="false">
      <c r="A29" s="9" t="n">
        <v>18</v>
      </c>
      <c r="B29" s="10" t="s">
        <v>57</v>
      </c>
      <c r="C29" s="11" t="s">
        <v>58</v>
      </c>
      <c r="D29" s="11" t="s">
        <v>59</v>
      </c>
    </row>
    <row r="30" customFormat="false" ht="15" hidden="false" customHeight="false" outlineLevel="0" collapsed="false">
      <c r="A30" s="9" t="n">
        <v>19</v>
      </c>
      <c r="B30" s="10" t="s">
        <v>60</v>
      </c>
      <c r="C30" s="11" t="s">
        <v>58</v>
      </c>
      <c r="D30" s="11" t="s">
        <v>61</v>
      </c>
    </row>
    <row r="31" customFormat="false" ht="15" hidden="false" customHeight="false" outlineLevel="0" collapsed="false">
      <c r="A31" s="9" t="n">
        <v>20</v>
      </c>
      <c r="B31" s="10" t="s">
        <v>62</v>
      </c>
      <c r="C31" s="11" t="s">
        <v>58</v>
      </c>
      <c r="D31" s="11" t="s">
        <v>63</v>
      </c>
    </row>
    <row r="32" customFormat="false" ht="15" hidden="false" customHeight="false" outlineLevel="0" collapsed="false">
      <c r="A32" s="9" t="n">
        <v>21</v>
      </c>
      <c r="B32" s="10" t="s">
        <v>64</v>
      </c>
      <c r="C32" s="11" t="s">
        <v>58</v>
      </c>
      <c r="D32" s="11" t="s">
        <v>65</v>
      </c>
    </row>
    <row r="33" customFormat="false" ht="15" hidden="false" customHeight="false" outlineLevel="0" collapsed="false">
      <c r="A33" s="9" t="n">
        <v>22</v>
      </c>
      <c r="B33" s="10" t="s">
        <v>66</v>
      </c>
      <c r="C33" s="11" t="s">
        <v>58</v>
      </c>
      <c r="D33" s="11" t="s">
        <v>67</v>
      </c>
    </row>
    <row r="34" customFormat="false" ht="15" hidden="false" customHeight="false" outlineLevel="0" collapsed="false">
      <c r="A34" s="9" t="n">
        <v>23</v>
      </c>
      <c r="B34" s="10" t="s">
        <v>68</v>
      </c>
      <c r="C34" s="11" t="s">
        <v>58</v>
      </c>
      <c r="D34" s="11" t="s">
        <v>69</v>
      </c>
    </row>
    <row r="35" customFormat="false" ht="15" hidden="false" customHeight="false" outlineLevel="0" collapsed="false">
      <c r="A35" s="9" t="n">
        <v>24</v>
      </c>
      <c r="B35" s="10" t="s">
        <v>70</v>
      </c>
      <c r="C35" s="11" t="s">
        <v>58</v>
      </c>
      <c r="D35" s="11" t="s">
        <v>71</v>
      </c>
    </row>
    <row r="36" customFormat="false" ht="15" hidden="false" customHeight="false" outlineLevel="0" collapsed="false">
      <c r="A36" s="9" t="n">
        <v>25</v>
      </c>
      <c r="B36" s="10" t="s">
        <v>72</v>
      </c>
      <c r="C36" s="11" t="s">
        <v>58</v>
      </c>
      <c r="D36" s="11" t="s">
        <v>73</v>
      </c>
    </row>
    <row r="37" customFormat="false" ht="15" hidden="false" customHeight="false" outlineLevel="0" collapsed="false">
      <c r="A37" s="9" t="n">
        <v>26</v>
      </c>
      <c r="B37" s="10" t="s">
        <v>74</v>
      </c>
      <c r="C37" s="11" t="s">
        <v>58</v>
      </c>
      <c r="D37" s="11" t="s">
        <v>75</v>
      </c>
    </row>
    <row r="38" customFormat="false" ht="15" hidden="false" customHeight="false" outlineLevel="0" collapsed="false">
      <c r="A38" s="9" t="n">
        <v>27</v>
      </c>
      <c r="B38" s="10" t="s">
        <v>76</v>
      </c>
      <c r="C38" s="11" t="s">
        <v>58</v>
      </c>
      <c r="D38" s="11" t="s">
        <v>77</v>
      </c>
    </row>
    <row r="39" customFormat="false" ht="15" hidden="false" customHeight="false" outlineLevel="0" collapsed="false">
      <c r="A39" s="9" t="n">
        <v>28</v>
      </c>
      <c r="B39" s="10" t="s">
        <v>78</v>
      </c>
      <c r="C39" s="11" t="s">
        <v>58</v>
      </c>
      <c r="D39" s="11" t="s">
        <v>79</v>
      </c>
    </row>
    <row r="40" customFormat="false" ht="15" hidden="false" customHeight="false" outlineLevel="0" collapsed="false">
      <c r="A40" s="9" t="n">
        <v>29</v>
      </c>
      <c r="B40" s="10" t="s">
        <v>80</v>
      </c>
      <c r="C40" s="11" t="s">
        <v>58</v>
      </c>
      <c r="D40" s="11" t="s">
        <v>81</v>
      </c>
    </row>
    <row r="42" customFormat="false" ht="15" hidden="false" customHeight="false" outlineLevel="0" collapsed="false">
      <c r="A42" s="3" t="s">
        <v>82</v>
      </c>
    </row>
    <row r="43" customFormat="false" ht="15" hidden="false" customHeight="false" outlineLevel="0" collapsed="false">
      <c r="A43" s="8" t="s">
        <v>11</v>
      </c>
      <c r="B43" s="8" t="s">
        <v>83</v>
      </c>
      <c r="C43" s="8" t="s">
        <v>84</v>
      </c>
      <c r="D43" s="8" t="s">
        <v>85</v>
      </c>
    </row>
    <row r="44" customFormat="false" ht="42" hidden="false" customHeight="true" outlineLevel="0" collapsed="false">
      <c r="A44" s="9" t="n">
        <v>1</v>
      </c>
      <c r="B44" s="12" t="s">
        <v>86</v>
      </c>
      <c r="C44" s="11" t="s">
        <v>87</v>
      </c>
      <c r="D44" s="11" t="s">
        <v>88</v>
      </c>
    </row>
    <row r="45" customFormat="false" ht="42" hidden="false" customHeight="true" outlineLevel="0" collapsed="false">
      <c r="A45" s="9" t="n">
        <v>2</v>
      </c>
      <c r="B45" s="12" t="s">
        <v>89</v>
      </c>
      <c r="C45" s="11" t="s">
        <v>90</v>
      </c>
      <c r="D45" s="11" t="s">
        <v>91</v>
      </c>
    </row>
    <row r="46" customFormat="false" ht="28.5" hidden="false" customHeight="true" outlineLevel="0" collapsed="false">
      <c r="A46" s="9" t="n">
        <v>3</v>
      </c>
      <c r="B46" s="12" t="s">
        <v>92</v>
      </c>
      <c r="C46" s="11" t="s">
        <v>93</v>
      </c>
      <c r="D46" s="11" t="s">
        <v>94</v>
      </c>
    </row>
    <row r="47" customFormat="false" ht="42" hidden="false" customHeight="true" outlineLevel="0" collapsed="false">
      <c r="A47" s="9" t="n">
        <v>4</v>
      </c>
      <c r="B47" s="12" t="s">
        <v>95</v>
      </c>
      <c r="C47" s="11" t="s">
        <v>96</v>
      </c>
      <c r="D47" s="11" t="s">
        <v>97</v>
      </c>
    </row>
    <row r="48" customFormat="false" ht="28.5" hidden="false" customHeight="true" outlineLevel="0" collapsed="false">
      <c r="A48" s="9" t="n">
        <v>5</v>
      </c>
      <c r="B48" s="12" t="s">
        <v>98</v>
      </c>
      <c r="C48" s="11" t="s">
        <v>99</v>
      </c>
      <c r="D48" s="11" t="s">
        <v>100</v>
      </c>
    </row>
    <row r="49" customFormat="false" ht="28.5" hidden="false" customHeight="true" outlineLevel="0" collapsed="false">
      <c r="A49" s="9" t="n">
        <v>6</v>
      </c>
      <c r="B49" s="12" t="s">
        <v>101</v>
      </c>
      <c r="C49" s="11" t="s">
        <v>102</v>
      </c>
      <c r="D49" s="11" t="s">
        <v>103</v>
      </c>
    </row>
    <row r="50" customFormat="false" ht="42" hidden="false" customHeight="true" outlineLevel="0" collapsed="false">
      <c r="A50" s="9" t="n">
        <v>7</v>
      </c>
      <c r="B50" s="12" t="s">
        <v>104</v>
      </c>
      <c r="C50" s="11" t="s">
        <v>105</v>
      </c>
      <c r="D50" s="11" t="s">
        <v>106</v>
      </c>
    </row>
    <row r="51" customFormat="false" ht="28.5" hidden="false" customHeight="true" outlineLevel="0" collapsed="false">
      <c r="A51" s="9" t="n">
        <v>8</v>
      </c>
      <c r="B51" s="12" t="s">
        <v>107</v>
      </c>
      <c r="C51" s="11" t="s">
        <v>108</v>
      </c>
      <c r="D51" s="11" t="s">
        <v>109</v>
      </c>
    </row>
    <row r="52" customFormat="false" ht="28.5" hidden="false" customHeight="true" outlineLevel="0" collapsed="false">
      <c r="A52" s="9" t="n">
        <v>9</v>
      </c>
      <c r="B52" s="12" t="s">
        <v>110</v>
      </c>
      <c r="C52" s="11" t="s">
        <v>111</v>
      </c>
      <c r="D52" s="11" t="s">
        <v>112</v>
      </c>
    </row>
    <row r="53" customFormat="false" ht="28.5" hidden="false" customHeight="true" outlineLevel="0" collapsed="false">
      <c r="A53" s="9" t="n">
        <v>10</v>
      </c>
      <c r="B53" s="12" t="s">
        <v>113</v>
      </c>
      <c r="C53" s="11" t="s">
        <v>114</v>
      </c>
      <c r="D53" s="11" t="s">
        <v>115</v>
      </c>
    </row>
    <row r="54" customFormat="false" ht="28.5" hidden="false" customHeight="true" outlineLevel="0" collapsed="false">
      <c r="A54" s="9" t="n">
        <v>11</v>
      </c>
      <c r="B54" s="12" t="s">
        <v>116</v>
      </c>
      <c r="C54" s="11" t="s">
        <v>117</v>
      </c>
      <c r="D54" s="11" t="s">
        <v>118</v>
      </c>
    </row>
    <row r="55" customFormat="false" ht="28.5" hidden="false" customHeight="true" outlineLevel="0" collapsed="false">
      <c r="A55" s="9" t="n">
        <v>12</v>
      </c>
      <c r="B55" s="12" t="s">
        <v>119</v>
      </c>
      <c r="C55" s="11" t="s">
        <v>120</v>
      </c>
      <c r="D55" s="11" t="s">
        <v>121</v>
      </c>
    </row>
    <row r="57" customFormat="false" ht="15" hidden="false" customHeight="false" outlineLevel="0" collapsed="false">
      <c r="A57" s="3" t="s">
        <v>122</v>
      </c>
    </row>
    <row r="58" customFormat="false" ht="28.5" hidden="false" customHeight="true" outlineLevel="0" collapsed="false">
      <c r="A58" s="13" t="s">
        <v>123</v>
      </c>
      <c r="B58" s="2" t="s">
        <v>124</v>
      </c>
      <c r="C58" s="2"/>
      <c r="D58" s="2"/>
    </row>
    <row r="59" customFormat="false" ht="28.5" hidden="false" customHeight="true" outlineLevel="0" collapsed="false">
      <c r="A59" s="13" t="s">
        <v>123</v>
      </c>
      <c r="B59" s="2" t="s">
        <v>125</v>
      </c>
      <c r="C59" s="2"/>
      <c r="D59" s="2"/>
    </row>
    <row r="60" customFormat="false" ht="28.5" hidden="false" customHeight="true" outlineLevel="0" collapsed="false">
      <c r="A60" s="13" t="s">
        <v>123</v>
      </c>
      <c r="B60" s="2" t="s">
        <v>126</v>
      </c>
      <c r="C60" s="2"/>
      <c r="D60" s="2"/>
    </row>
    <row r="61" customFormat="false" ht="15.75" hidden="false" customHeight="true" outlineLevel="0" collapsed="false">
      <c r="A61" s="13" t="s">
        <v>123</v>
      </c>
      <c r="B61" s="2" t="s">
        <v>127</v>
      </c>
      <c r="C61" s="2"/>
      <c r="D61" s="2"/>
    </row>
    <row r="62" customFormat="false" ht="15.75" hidden="false" customHeight="true" outlineLevel="0" collapsed="false">
      <c r="A62" s="13" t="s">
        <v>123</v>
      </c>
      <c r="B62" s="2" t="s">
        <v>128</v>
      </c>
      <c r="C62" s="2"/>
      <c r="D62" s="2"/>
    </row>
    <row r="63" customFormat="false" ht="15.75" hidden="false" customHeight="true" outlineLevel="0" collapsed="false">
      <c r="A63" s="13" t="s">
        <v>123</v>
      </c>
      <c r="B63" s="2" t="s">
        <v>129</v>
      </c>
      <c r="C63" s="2"/>
      <c r="D63" s="2"/>
    </row>
  </sheetData>
  <mergeCells count="11">
    <mergeCell ref="A2:D2"/>
    <mergeCell ref="C5:D5"/>
    <mergeCell ref="C6:D6"/>
    <mergeCell ref="C7:D7"/>
    <mergeCell ref="B8:D8"/>
    <mergeCell ref="B58:D58"/>
    <mergeCell ref="B59:D59"/>
    <mergeCell ref="B60:D60"/>
    <mergeCell ref="B61:D61"/>
    <mergeCell ref="B62:D62"/>
    <mergeCell ref="B63:D63"/>
  </mergeCells>
  <hyperlinks>
    <hyperlink ref="B12" r:id="rId1" location="'Alteracoes'!A1" display="Alteracoes"/>
    <hyperlink ref="B13" r:id="rId2" location="'Mapa_DCF'!A1" display="Mapa_DCF"/>
    <hyperlink ref="B14" r:id="rId3" location="'Conferencia'!A1" display="Conferencia"/>
    <hyperlink ref="B15" r:id="rId4" location="'Exemplo_custo'!A1" display="Exemplo_custo"/>
    <hyperlink ref="B16" r:id="rId5" location="'autorizacao_ambiental'!A1" display="autorizacao_ambiental"/>
    <hyperlink ref="B17" r:id="rId6" location="'autorizacao_movimento'!A1" display="autorizacao_movimento"/>
    <hyperlink ref="B18" r:id="rId7" location="'inventario_florestal'!A1" display="inventario_florestal"/>
    <hyperlink ref="B19" r:id="rId8" location="'inventario_parcela'!A1" display="inventario_parcela"/>
    <hyperlink ref="B20" r:id="rId9" location="'inventario_talhao'!A1" display="inventario_talhao"/>
    <hyperlink ref="B21" r:id="rId10" location="'talhao'!A1" display="talhao"/>
    <hyperlink ref="B22" r:id="rId11" location="'plantio'!A1" display="plantio"/>
    <hyperlink ref="B23" r:id="rId12" location="'fazenda'!A1" display="fazenda"/>
    <hyperlink ref="B24" r:id="rId13" location="'proprietario'!A1" display="proprietario"/>
    <hyperlink ref="B25" r:id="rId14" location="'upc'!A1" display="upc"/>
    <hyperlink ref="B26" r:id="rId15" location="'colheita'!A1" display="colheita"/>
    <hyperlink ref="B27" r:id="rId16" location="'transporte_lenha'!A1" display="transporte_lenha"/>
    <hyperlink ref="B28" r:id="rId17" location="'fornecedor'!A1" display="fornecedor"/>
    <hyperlink ref="B29" r:id="rId18" location="'centro_custo'!A1" display="centro_custo"/>
    <hyperlink ref="B30" r:id="rId19" location="'categoria_custo'!A1" display="categoria_custo"/>
    <hyperlink ref="B31" r:id="rId20" location="'equipamento'!A1" display="equipamento"/>
    <hyperlink ref="B32" r:id="rId21" location="'cliente'!A1" display="cliente"/>
    <hyperlink ref="B33" r:id="rId22" location="'producao_carvao'!A1" display="producao_carvao"/>
    <hyperlink ref="B34" r:id="rId23" location="'lancamento_custo'!A1" display="lancamento_custo"/>
    <hyperlink ref="B35" r:id="rId24" location="'lancamento_custo_rateio'!A1" display="lancamento_custo_rateio"/>
    <hyperlink ref="B36" r:id="rId25" location="'expedicao_carvao'!A1" display="expedicao_carvao"/>
    <hyperlink ref="B37" r:id="rId26" location="'fechamento_fornecedor'!A1" display="fechamento_fornecedor"/>
    <hyperlink ref="B38" r:id="rId27" location="'fechamento_item'!A1" display="fechamento_item"/>
    <hyperlink ref="B39" r:id="rId28" location="'apuracao_custo'!A1" display="apuracao_custo"/>
    <hyperlink ref="B40" r:id="rId29" location="'apuracao_custo_item'!A1" display="apuracao_custo_ite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130</v>
      </c>
      <c r="D1" s="14" t="s">
        <v>131</v>
      </c>
    </row>
    <row r="3" customFormat="false" ht="15" hidden="false" customHeight="false" outlineLevel="0" collapsed="false">
      <c r="A3" s="8" t="s">
        <v>132</v>
      </c>
      <c r="B3" s="8" t="s">
        <v>133</v>
      </c>
      <c r="C3" s="8" t="s">
        <v>134</v>
      </c>
      <c r="D3" s="8" t="s">
        <v>135</v>
      </c>
    </row>
    <row r="4" customFormat="false" ht="28.5" hidden="false" customHeight="true" outlineLevel="0" collapsed="false">
      <c r="A4" s="12" t="s">
        <v>136</v>
      </c>
      <c r="B4" s="11" t="s">
        <v>137</v>
      </c>
      <c r="C4" s="11" t="s">
        <v>138</v>
      </c>
      <c r="D4" s="11" t="s">
        <v>139</v>
      </c>
    </row>
    <row r="5" customFormat="false" ht="15.75" hidden="false" customHeight="true" outlineLevel="0" collapsed="false">
      <c r="A5" s="12" t="s">
        <v>136</v>
      </c>
      <c r="B5" s="11" t="s">
        <v>140</v>
      </c>
      <c r="C5" s="11" t="s">
        <v>141</v>
      </c>
      <c r="D5" s="11" t="s">
        <v>142</v>
      </c>
    </row>
    <row r="6" customFormat="false" ht="15.75" hidden="false" customHeight="true" outlineLevel="0" collapsed="false">
      <c r="A6" s="12" t="s">
        <v>26</v>
      </c>
      <c r="B6" s="11" t="s">
        <v>143</v>
      </c>
      <c r="C6" s="11" t="s">
        <v>144</v>
      </c>
      <c r="D6" s="11" t="s">
        <v>145</v>
      </c>
    </row>
    <row r="7" customFormat="false" ht="28.5" hidden="false" customHeight="true" outlineLevel="0" collapsed="false">
      <c r="A7" s="12" t="s">
        <v>26</v>
      </c>
      <c r="B7" s="11" t="s">
        <v>146</v>
      </c>
      <c r="C7" s="11" t="s">
        <v>147</v>
      </c>
      <c r="D7" s="11" t="s">
        <v>148</v>
      </c>
    </row>
    <row r="8" customFormat="false" ht="15.75" hidden="false" customHeight="true" outlineLevel="0" collapsed="false">
      <c r="A8" s="12" t="s">
        <v>26</v>
      </c>
      <c r="B8" s="11" t="s">
        <v>149</v>
      </c>
      <c r="C8" s="11" t="s">
        <v>150</v>
      </c>
      <c r="D8" s="11" t="s">
        <v>151</v>
      </c>
    </row>
    <row r="9" customFormat="false" ht="15.75" hidden="false" customHeight="true" outlineLevel="0" collapsed="false">
      <c r="A9" s="12" t="s">
        <v>26</v>
      </c>
      <c r="B9" s="11" t="s">
        <v>152</v>
      </c>
      <c r="C9" s="11" t="s">
        <v>150</v>
      </c>
      <c r="D9" s="11" t="s">
        <v>153</v>
      </c>
    </row>
    <row r="10" customFormat="false" ht="28.5" hidden="false" customHeight="true" outlineLevel="0" collapsed="false">
      <c r="A10" s="12" t="s">
        <v>26</v>
      </c>
      <c r="B10" s="11" t="s">
        <v>154</v>
      </c>
      <c r="C10" s="11" t="s">
        <v>155</v>
      </c>
      <c r="D10" s="11" t="s">
        <v>156</v>
      </c>
    </row>
    <row r="11" customFormat="false" ht="28.5" hidden="false" customHeight="true" outlineLevel="0" collapsed="false">
      <c r="A11" s="12" t="s">
        <v>26</v>
      </c>
      <c r="B11" s="11" t="s">
        <v>157</v>
      </c>
      <c r="C11" s="11" t="s">
        <v>158</v>
      </c>
      <c r="D11" s="11" t="s">
        <v>159</v>
      </c>
    </row>
    <row r="12" customFormat="false" ht="15.75" hidden="false" customHeight="true" outlineLevel="0" collapsed="false">
      <c r="A12" s="12" t="s">
        <v>26</v>
      </c>
      <c r="B12" s="11" t="s">
        <v>160</v>
      </c>
      <c r="C12" s="11" t="s">
        <v>161</v>
      </c>
      <c r="D12" s="11" t="s">
        <v>162</v>
      </c>
    </row>
    <row r="13" customFormat="false" ht="15.75" hidden="false" customHeight="true" outlineLevel="0" collapsed="false">
      <c r="A13" s="12" t="s">
        <v>26</v>
      </c>
      <c r="B13" s="11" t="s">
        <v>163</v>
      </c>
      <c r="C13" s="11" t="s">
        <v>164</v>
      </c>
      <c r="D13" s="11" t="s">
        <v>165</v>
      </c>
    </row>
    <row r="14" customFormat="false" ht="15.75" hidden="false" customHeight="true" outlineLevel="0" collapsed="false">
      <c r="A14" s="12" t="s">
        <v>26</v>
      </c>
      <c r="B14" s="11" t="s">
        <v>166</v>
      </c>
      <c r="C14" s="11" t="s">
        <v>147</v>
      </c>
      <c r="D14" s="11" t="s">
        <v>167</v>
      </c>
    </row>
    <row r="15" customFormat="false" ht="28.5" hidden="false" customHeight="true" outlineLevel="0" collapsed="false">
      <c r="A15" s="12" t="s">
        <v>26</v>
      </c>
      <c r="B15" s="11" t="s">
        <v>168</v>
      </c>
      <c r="C15" s="11" t="s">
        <v>169</v>
      </c>
      <c r="D15" s="11" t="s">
        <v>170</v>
      </c>
    </row>
    <row r="16" customFormat="false" ht="28.5" hidden="false" customHeight="true" outlineLevel="0" collapsed="false">
      <c r="A16" s="12" t="s">
        <v>26</v>
      </c>
      <c r="B16" s="11" t="s">
        <v>171</v>
      </c>
      <c r="C16" s="11" t="s">
        <v>172</v>
      </c>
      <c r="D16" s="11" t="s">
        <v>173</v>
      </c>
    </row>
    <row r="17" customFormat="false" ht="54.75" hidden="false" customHeight="true" outlineLevel="0" collapsed="false">
      <c r="A17" s="12" t="s">
        <v>26</v>
      </c>
      <c r="B17" s="11" t="s">
        <v>174</v>
      </c>
      <c r="C17" s="11" t="s">
        <v>147</v>
      </c>
      <c r="D17" s="11" t="s">
        <v>175</v>
      </c>
    </row>
    <row r="18" customFormat="false" ht="28.5" hidden="false" customHeight="true" outlineLevel="0" collapsed="false">
      <c r="A18" s="12" t="s">
        <v>29</v>
      </c>
      <c r="B18" s="11" t="s">
        <v>176</v>
      </c>
      <c r="C18" s="11" t="s">
        <v>177</v>
      </c>
      <c r="D18" s="11" t="s">
        <v>178</v>
      </c>
    </row>
    <row r="19" customFormat="false" ht="28.5" hidden="false" customHeight="true" outlineLevel="0" collapsed="false">
      <c r="A19" s="12" t="s">
        <v>32</v>
      </c>
      <c r="B19" s="11" t="s">
        <v>179</v>
      </c>
      <c r="C19" s="11" t="s">
        <v>180</v>
      </c>
      <c r="D19" s="11" t="s">
        <v>181</v>
      </c>
    </row>
    <row r="20" customFormat="false" ht="15.75" hidden="false" customHeight="true" outlineLevel="0" collapsed="false">
      <c r="A20" s="12" t="s">
        <v>32</v>
      </c>
      <c r="B20" s="11" t="s">
        <v>182</v>
      </c>
      <c r="C20" s="11" t="s">
        <v>183</v>
      </c>
      <c r="D20" s="11" t="s">
        <v>184</v>
      </c>
    </row>
    <row r="21" customFormat="false" ht="15.75" hidden="false" customHeight="true" outlineLevel="0" collapsed="false">
      <c r="A21" s="12" t="s">
        <v>32</v>
      </c>
      <c r="B21" s="11" t="s">
        <v>185</v>
      </c>
      <c r="C21" s="11" t="s">
        <v>186</v>
      </c>
      <c r="D21" s="11" t="s">
        <v>187</v>
      </c>
    </row>
    <row r="22" customFormat="false" ht="15.75" hidden="false" customHeight="true" outlineLevel="0" collapsed="false">
      <c r="A22" s="12" t="s">
        <v>32</v>
      </c>
      <c r="B22" s="11" t="s">
        <v>188</v>
      </c>
      <c r="C22" s="11" t="s">
        <v>189</v>
      </c>
      <c r="D22" s="11" t="s">
        <v>190</v>
      </c>
    </row>
    <row r="23" customFormat="false" ht="28.5" hidden="false" customHeight="true" outlineLevel="0" collapsed="false">
      <c r="A23" s="12" t="s">
        <v>32</v>
      </c>
      <c r="B23" s="11" t="s">
        <v>191</v>
      </c>
      <c r="C23" s="11" t="s">
        <v>192</v>
      </c>
      <c r="D23" s="11" t="s">
        <v>193</v>
      </c>
    </row>
    <row r="24" customFormat="false" ht="15.75" hidden="false" customHeight="true" outlineLevel="0" collapsed="false">
      <c r="A24" s="12" t="s">
        <v>32</v>
      </c>
      <c r="B24" s="11" t="s">
        <v>194</v>
      </c>
      <c r="C24" s="11" t="s">
        <v>195</v>
      </c>
      <c r="D24" s="11" t="s">
        <v>196</v>
      </c>
    </row>
    <row r="25" customFormat="false" ht="28.5" hidden="false" customHeight="true" outlineLevel="0" collapsed="false">
      <c r="A25" s="12" t="s">
        <v>32</v>
      </c>
      <c r="B25" s="11" t="s">
        <v>197</v>
      </c>
      <c r="C25" s="11" t="s">
        <v>198</v>
      </c>
      <c r="D25" s="11" t="s">
        <v>199</v>
      </c>
    </row>
    <row r="26" customFormat="false" ht="15.75" hidden="false" customHeight="true" outlineLevel="0" collapsed="false">
      <c r="A26" s="12" t="s">
        <v>34</v>
      </c>
      <c r="B26" s="11" t="s">
        <v>176</v>
      </c>
      <c r="C26" s="11" t="s">
        <v>200</v>
      </c>
      <c r="D26" s="11" t="s">
        <v>201</v>
      </c>
    </row>
    <row r="27" customFormat="false" ht="15.75" hidden="false" customHeight="true" outlineLevel="0" collapsed="false">
      <c r="A27" s="12" t="s">
        <v>37</v>
      </c>
      <c r="B27" s="11" t="s">
        <v>176</v>
      </c>
      <c r="C27" s="11" t="s">
        <v>177</v>
      </c>
      <c r="D27" s="11" t="s">
        <v>202</v>
      </c>
    </row>
    <row r="28" customFormat="false" ht="28.5" hidden="false" customHeight="true" outlineLevel="0" collapsed="false">
      <c r="A28" s="12" t="s">
        <v>39</v>
      </c>
      <c r="B28" s="11" t="s">
        <v>203</v>
      </c>
      <c r="C28" s="11" t="s">
        <v>204</v>
      </c>
      <c r="D28" s="11" t="s">
        <v>205</v>
      </c>
    </row>
    <row r="29" customFormat="false" ht="28.5" hidden="false" customHeight="true" outlineLevel="0" collapsed="false">
      <c r="A29" s="12" t="s">
        <v>39</v>
      </c>
      <c r="B29" s="11" t="s">
        <v>206</v>
      </c>
      <c r="C29" s="11" t="s">
        <v>147</v>
      </c>
      <c r="D29" s="11" t="s">
        <v>207</v>
      </c>
    </row>
    <row r="30" customFormat="false" ht="28.5" hidden="false" customHeight="true" outlineLevel="0" collapsed="false">
      <c r="A30" s="12" t="s">
        <v>208</v>
      </c>
      <c r="B30" s="11" t="s">
        <v>209</v>
      </c>
      <c r="C30" s="11" t="s">
        <v>210</v>
      </c>
      <c r="D30" s="11" t="s">
        <v>211</v>
      </c>
    </row>
    <row r="31" customFormat="false" ht="28.5" hidden="false" customHeight="true" outlineLevel="0" collapsed="false">
      <c r="A31" s="12" t="s">
        <v>53</v>
      </c>
      <c r="B31" s="11" t="s">
        <v>212</v>
      </c>
      <c r="C31" s="11" t="s">
        <v>164</v>
      </c>
      <c r="D31" s="11" t="s">
        <v>213</v>
      </c>
    </row>
    <row r="32" customFormat="false" ht="28.5" hidden="false" customHeight="true" outlineLevel="0" collapsed="false">
      <c r="A32" s="12" t="s">
        <v>53</v>
      </c>
      <c r="B32" s="11" t="s">
        <v>214</v>
      </c>
      <c r="C32" s="11" t="s">
        <v>215</v>
      </c>
      <c r="D32" s="11" t="s">
        <v>216</v>
      </c>
    </row>
    <row r="33" customFormat="false" ht="28.5" hidden="false" customHeight="true" outlineLevel="0" collapsed="false">
      <c r="A33" s="12" t="s">
        <v>53</v>
      </c>
      <c r="B33" s="11" t="s">
        <v>217</v>
      </c>
      <c r="C33" s="11" t="s">
        <v>147</v>
      </c>
      <c r="D33" s="11" t="s">
        <v>218</v>
      </c>
    </row>
    <row r="34" customFormat="false" ht="28.5" hidden="false" customHeight="true" outlineLevel="0" collapsed="false">
      <c r="A34" s="12" t="s">
        <v>53</v>
      </c>
      <c r="B34" s="11" t="s">
        <v>179</v>
      </c>
      <c r="C34" s="11" t="s">
        <v>150</v>
      </c>
      <c r="D34" s="11" t="s">
        <v>219</v>
      </c>
    </row>
    <row r="35" customFormat="false" ht="15.75" hidden="false" customHeight="true" outlineLevel="0" collapsed="false">
      <c r="A35" s="12" t="s">
        <v>53</v>
      </c>
      <c r="B35" s="11" t="s">
        <v>220</v>
      </c>
      <c r="C35" s="11" t="s">
        <v>147</v>
      </c>
      <c r="D35" s="11" t="s">
        <v>221</v>
      </c>
    </row>
    <row r="36" customFormat="false" ht="28.5" hidden="false" customHeight="true" outlineLevel="0" collapsed="false">
      <c r="A36" s="12" t="s">
        <v>53</v>
      </c>
      <c r="B36" s="11" t="s">
        <v>222</v>
      </c>
      <c r="C36" s="11" t="s">
        <v>147</v>
      </c>
      <c r="D36" s="11" t="s">
        <v>223</v>
      </c>
    </row>
    <row r="37" customFormat="false" ht="28.5" hidden="false" customHeight="true" outlineLevel="0" collapsed="false">
      <c r="A37" s="12" t="s">
        <v>55</v>
      </c>
      <c r="B37" s="11" t="s">
        <v>224</v>
      </c>
      <c r="C37" s="11" t="s">
        <v>225</v>
      </c>
      <c r="D37" s="11" t="s">
        <v>226</v>
      </c>
    </row>
    <row r="38" customFormat="false" ht="28.5" hidden="false" customHeight="true" outlineLevel="0" collapsed="false">
      <c r="A38" s="12" t="s">
        <v>55</v>
      </c>
      <c r="B38" s="11" t="s">
        <v>227</v>
      </c>
      <c r="C38" s="11" t="s">
        <v>228</v>
      </c>
      <c r="D38" s="11" t="s">
        <v>229</v>
      </c>
    </row>
    <row r="39" customFormat="false" ht="28.5" hidden="false" customHeight="true" outlineLevel="0" collapsed="false">
      <c r="A39" s="12" t="s">
        <v>55</v>
      </c>
      <c r="B39" s="11" t="s">
        <v>230</v>
      </c>
      <c r="C39" s="11" t="s">
        <v>231</v>
      </c>
      <c r="D39" s="11" t="s">
        <v>232</v>
      </c>
    </row>
    <row r="40" customFormat="false" ht="28.5" hidden="false" customHeight="true" outlineLevel="0" collapsed="false">
      <c r="A40" s="12" t="s">
        <v>50</v>
      </c>
      <c r="B40" s="11" t="s">
        <v>233</v>
      </c>
      <c r="C40" s="11" t="s">
        <v>147</v>
      </c>
      <c r="D40" s="11" t="s">
        <v>234</v>
      </c>
    </row>
    <row r="41" customFormat="false" ht="28.5" hidden="false" customHeight="true" outlineLevel="0" collapsed="false">
      <c r="A41" s="12" t="s">
        <v>50</v>
      </c>
      <c r="B41" s="11" t="s">
        <v>235</v>
      </c>
      <c r="C41" s="11" t="s">
        <v>236</v>
      </c>
      <c r="D41" s="11" t="s">
        <v>237</v>
      </c>
    </row>
    <row r="42" customFormat="false" ht="28.5" hidden="false" customHeight="true" outlineLevel="0" collapsed="false">
      <c r="A42" s="12" t="s">
        <v>238</v>
      </c>
      <c r="B42" s="11" t="s">
        <v>239</v>
      </c>
      <c r="C42" s="11" t="s">
        <v>240</v>
      </c>
      <c r="D42" s="11" t="s">
        <v>241</v>
      </c>
    </row>
    <row r="43" customFormat="false" ht="28.5" hidden="false" customHeight="true" outlineLevel="0" collapsed="false">
      <c r="A43" s="12" t="s">
        <v>238</v>
      </c>
      <c r="B43" s="11" t="s">
        <v>242</v>
      </c>
      <c r="C43" s="11" t="s">
        <v>240</v>
      </c>
      <c r="D43" s="11" t="s">
        <v>243</v>
      </c>
    </row>
    <row r="44" customFormat="false" ht="15.75" hidden="false" customHeight="true" outlineLevel="0" collapsed="false">
      <c r="A44" s="12" t="s">
        <v>238</v>
      </c>
      <c r="B44" s="11" t="s">
        <v>66</v>
      </c>
      <c r="C44" s="11" t="s">
        <v>244</v>
      </c>
      <c r="D44" s="11" t="s">
        <v>245</v>
      </c>
    </row>
    <row r="45" customFormat="false" ht="28.5" hidden="false" customHeight="true" outlineLevel="0" collapsed="false">
      <c r="A45" s="12" t="s">
        <v>238</v>
      </c>
      <c r="B45" s="11" t="s">
        <v>72</v>
      </c>
      <c r="C45" s="11" t="s">
        <v>246</v>
      </c>
      <c r="D45" s="11" t="s">
        <v>247</v>
      </c>
    </row>
    <row r="46" customFormat="false" ht="28.5" hidden="false" customHeight="true" outlineLevel="0" collapsed="false">
      <c r="A46" s="12" t="s">
        <v>238</v>
      </c>
      <c r="B46" s="11" t="s">
        <v>248</v>
      </c>
      <c r="C46" s="11" t="s">
        <v>240</v>
      </c>
      <c r="D46" s="11" t="s">
        <v>249</v>
      </c>
    </row>
    <row r="47" customFormat="false" ht="28.5" hidden="false" customHeight="true" outlineLevel="0" collapsed="false">
      <c r="A47" s="12" t="s">
        <v>238</v>
      </c>
      <c r="B47" s="11" t="s">
        <v>250</v>
      </c>
      <c r="C47" s="11" t="s">
        <v>240</v>
      </c>
      <c r="D47" s="11" t="s">
        <v>251</v>
      </c>
    </row>
    <row r="48" customFormat="false" ht="28.5" hidden="false" customHeight="true" outlineLevel="0" collapsed="false">
      <c r="A48" s="12" t="s">
        <v>53</v>
      </c>
      <c r="B48" s="11" t="s">
        <v>252</v>
      </c>
      <c r="C48" s="11" t="s">
        <v>147</v>
      </c>
      <c r="D48" s="11" t="s">
        <v>253</v>
      </c>
    </row>
    <row r="49" customFormat="false" ht="15.75" hidden="false" customHeight="true" outlineLevel="0" collapsed="false">
      <c r="A49" s="12" t="s">
        <v>55</v>
      </c>
      <c r="B49" s="11" t="s">
        <v>254</v>
      </c>
      <c r="C49" s="11" t="s">
        <v>147</v>
      </c>
      <c r="D49" s="11" t="s">
        <v>255</v>
      </c>
    </row>
    <row r="50" customFormat="false" ht="15.75" hidden="false" customHeight="true" outlineLevel="0" collapsed="false">
      <c r="A50" s="12" t="s">
        <v>29</v>
      </c>
      <c r="B50" s="11" t="s">
        <v>256</v>
      </c>
      <c r="C50" s="11" t="s">
        <v>257</v>
      </c>
      <c r="D50" s="11" t="s">
        <v>258</v>
      </c>
    </row>
  </sheetData>
  <hyperlinks>
    <hyperlink ref="D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259</v>
      </c>
      <c r="D1" s="14" t="s">
        <v>131</v>
      </c>
    </row>
    <row r="2" customFormat="false" ht="15" hidden="false" customHeight="false" outlineLevel="0" collapsed="false">
      <c r="A2" s="15" t="s">
        <v>260</v>
      </c>
    </row>
    <row r="4" customFormat="false" ht="15" hidden="false" customHeight="false" outlineLevel="0" collapsed="false">
      <c r="A4" s="8" t="s">
        <v>261</v>
      </c>
      <c r="B4" s="8" t="s">
        <v>262</v>
      </c>
      <c r="C4" s="8" t="s">
        <v>263</v>
      </c>
      <c r="D4" s="8" t="s">
        <v>264</v>
      </c>
    </row>
    <row r="5" customFormat="false" ht="28.5" hidden="false" customHeight="true" outlineLevel="0" collapsed="false">
      <c r="A5" s="12" t="s">
        <v>265</v>
      </c>
      <c r="B5" s="11" t="s">
        <v>266</v>
      </c>
      <c r="C5" s="11" t="s">
        <v>267</v>
      </c>
      <c r="D5" s="11" t="s">
        <v>268</v>
      </c>
    </row>
    <row r="6" customFormat="false" ht="28.5" hidden="false" customHeight="true" outlineLevel="0" collapsed="false">
      <c r="A6" s="12" t="s">
        <v>269</v>
      </c>
      <c r="B6" s="11" t="s">
        <v>270</v>
      </c>
      <c r="C6" s="11" t="s">
        <v>271</v>
      </c>
      <c r="D6" s="11" t="s">
        <v>272</v>
      </c>
    </row>
    <row r="7" customFormat="false" ht="28.5" hidden="false" customHeight="true" outlineLevel="0" collapsed="false">
      <c r="A7" s="12" t="s">
        <v>273</v>
      </c>
      <c r="B7" s="11" t="s">
        <v>274</v>
      </c>
      <c r="C7" s="11" t="s">
        <v>275</v>
      </c>
      <c r="D7" s="11" t="s">
        <v>276</v>
      </c>
    </row>
    <row r="8" customFormat="false" ht="15.75" hidden="false" customHeight="true" outlineLevel="0" collapsed="false">
      <c r="A8" s="12" t="s">
        <v>277</v>
      </c>
      <c r="B8" s="11" t="s">
        <v>278</v>
      </c>
      <c r="C8" s="11" t="s">
        <v>279</v>
      </c>
      <c r="D8" s="11" t="s">
        <v>45</v>
      </c>
    </row>
    <row r="9" customFormat="false" ht="15.75" hidden="false" customHeight="true" outlineLevel="0" collapsed="false">
      <c r="A9" s="12" t="s">
        <v>280</v>
      </c>
      <c r="B9" s="11" t="s">
        <v>281</v>
      </c>
      <c r="C9" s="11" t="s">
        <v>282</v>
      </c>
      <c r="D9" s="11" t="s">
        <v>283</v>
      </c>
    </row>
    <row r="10" customFormat="false" ht="15.75" hidden="false" customHeight="true" outlineLevel="0" collapsed="false">
      <c r="A10" s="12" t="s">
        <v>284</v>
      </c>
      <c r="B10" s="11" t="s">
        <v>285</v>
      </c>
      <c r="C10" s="11" t="s">
        <v>286</v>
      </c>
      <c r="D10" s="11" t="s">
        <v>287</v>
      </c>
    </row>
    <row r="11" customFormat="false" ht="28.5" hidden="false" customHeight="true" outlineLevel="0" collapsed="false">
      <c r="A11" s="12" t="s">
        <v>288</v>
      </c>
      <c r="B11" s="11" t="s">
        <v>289</v>
      </c>
      <c r="C11" s="11" t="s">
        <v>290</v>
      </c>
      <c r="D11" s="11" t="s">
        <v>291</v>
      </c>
    </row>
    <row r="12" customFormat="false" ht="15.75" hidden="false" customHeight="true" outlineLevel="0" collapsed="false">
      <c r="A12" s="12" t="s">
        <v>292</v>
      </c>
      <c r="B12" s="11" t="s">
        <v>293</v>
      </c>
      <c r="C12" s="11" t="s">
        <v>294</v>
      </c>
      <c r="D12" s="11" t="s">
        <v>295</v>
      </c>
    </row>
    <row r="13" customFormat="false" ht="15.75" hidden="false" customHeight="true" outlineLevel="0" collapsed="false">
      <c r="A13" s="12" t="s">
        <v>296</v>
      </c>
      <c r="B13" s="11" t="s">
        <v>297</v>
      </c>
      <c r="C13" s="11" t="s">
        <v>298</v>
      </c>
      <c r="D13" s="11" t="s">
        <v>299</v>
      </c>
    </row>
    <row r="14" customFormat="false" ht="28.5" hidden="false" customHeight="true" outlineLevel="0" collapsed="false">
      <c r="A14" s="12" t="s">
        <v>300</v>
      </c>
      <c r="B14" s="11" t="s">
        <v>301</v>
      </c>
      <c r="C14" s="11" t="s">
        <v>302</v>
      </c>
      <c r="D14" s="11" t="s">
        <v>303</v>
      </c>
    </row>
    <row r="15" customFormat="false" ht="28.5" hidden="false" customHeight="true" outlineLevel="0" collapsed="false">
      <c r="A15" s="12" t="s">
        <v>304</v>
      </c>
      <c r="B15" s="11" t="s">
        <v>305</v>
      </c>
      <c r="C15" s="11" t="s">
        <v>306</v>
      </c>
      <c r="D15" s="11" t="s">
        <v>307</v>
      </c>
    </row>
    <row r="16" customFormat="false" ht="15.75" hidden="false" customHeight="true" outlineLevel="0" collapsed="false">
      <c r="A16" s="12" t="s">
        <v>308</v>
      </c>
      <c r="B16" s="11" t="s">
        <v>309</v>
      </c>
      <c r="C16" s="11" t="s">
        <v>310</v>
      </c>
      <c r="D16" s="11" t="s">
        <v>311</v>
      </c>
    </row>
    <row r="17" customFormat="false" ht="28.5" hidden="false" customHeight="true" outlineLevel="0" collapsed="false">
      <c r="A17" s="12" t="s">
        <v>312</v>
      </c>
      <c r="B17" s="11" t="s">
        <v>313</v>
      </c>
      <c r="C17" s="11" t="s">
        <v>314</v>
      </c>
      <c r="D17" s="11" t="s">
        <v>315</v>
      </c>
    </row>
    <row r="18" customFormat="false" ht="28.5" hidden="false" customHeight="true" outlineLevel="0" collapsed="false">
      <c r="A18" s="12" t="s">
        <v>316</v>
      </c>
      <c r="B18" s="11" t="s">
        <v>317</v>
      </c>
      <c r="C18" s="11" t="s">
        <v>318</v>
      </c>
      <c r="D18" s="11" t="s">
        <v>319</v>
      </c>
    </row>
    <row r="19" customFormat="false" ht="15.75" hidden="false" customHeight="true" outlineLevel="0" collapsed="false">
      <c r="A19" s="12" t="s">
        <v>320</v>
      </c>
      <c r="B19" s="11" t="s">
        <v>321</v>
      </c>
      <c r="C19" s="11" t="s">
        <v>322</v>
      </c>
      <c r="D19" s="11" t="s">
        <v>323</v>
      </c>
    </row>
    <row r="20" customFormat="false" ht="15.75" hidden="false" customHeight="true" outlineLevel="0" collapsed="false">
      <c r="A20" s="12" t="s">
        <v>324</v>
      </c>
      <c r="B20" s="11" t="s">
        <v>325</v>
      </c>
      <c r="C20" s="11" t="s">
        <v>326</v>
      </c>
      <c r="D20" s="11" t="s">
        <v>327</v>
      </c>
    </row>
    <row r="21" customFormat="false" ht="15.75" hidden="false" customHeight="true" outlineLevel="0" collapsed="false">
      <c r="A21" s="12" t="s">
        <v>328</v>
      </c>
      <c r="B21" s="11" t="s">
        <v>329</v>
      </c>
      <c r="C21" s="11" t="s">
        <v>330</v>
      </c>
      <c r="D21" s="11" t="s">
        <v>331</v>
      </c>
    </row>
    <row r="22" customFormat="false" ht="15.75" hidden="false" customHeight="true" outlineLevel="0" collapsed="false">
      <c r="A22" s="12" t="s">
        <v>332</v>
      </c>
      <c r="B22" s="11" t="s">
        <v>333</v>
      </c>
      <c r="C22" s="11" t="s">
        <v>334</v>
      </c>
      <c r="D22" s="11" t="s">
        <v>335</v>
      </c>
    </row>
    <row r="23" customFormat="false" ht="28.5" hidden="false" customHeight="true" outlineLevel="0" collapsed="false">
      <c r="A23" s="12" t="s">
        <v>336</v>
      </c>
      <c r="B23" s="11" t="s">
        <v>337</v>
      </c>
      <c r="C23" s="11" t="s">
        <v>338</v>
      </c>
      <c r="D23" s="11" t="s">
        <v>339</v>
      </c>
    </row>
    <row r="24" customFormat="false" ht="28.5" hidden="false" customHeight="true" outlineLevel="0" collapsed="false">
      <c r="A24" s="12" t="s">
        <v>340</v>
      </c>
      <c r="B24" s="11" t="s">
        <v>341</v>
      </c>
      <c r="C24" s="11" t="s">
        <v>342</v>
      </c>
      <c r="D24" s="11" t="s">
        <v>343</v>
      </c>
    </row>
    <row r="25" customFormat="false" ht="15.75" hidden="false" customHeight="true" outlineLevel="0" collapsed="false">
      <c r="A25" s="12" t="s">
        <v>344</v>
      </c>
      <c r="B25" s="11" t="s">
        <v>345</v>
      </c>
      <c r="C25" s="11" t="s">
        <v>346</v>
      </c>
      <c r="D25" s="11" t="s">
        <v>347</v>
      </c>
    </row>
    <row r="26" customFormat="false" ht="15.75" hidden="false" customHeight="true" outlineLevel="0" collapsed="false">
      <c r="A26" s="12" t="s">
        <v>348</v>
      </c>
      <c r="B26" s="11" t="s">
        <v>349</v>
      </c>
      <c r="C26" s="11" t="s">
        <v>298</v>
      </c>
      <c r="D26" s="11" t="s">
        <v>350</v>
      </c>
    </row>
    <row r="27" customFormat="false" ht="15.75" hidden="false" customHeight="true" outlineLevel="0" collapsed="false">
      <c r="A27" s="12" t="s">
        <v>351</v>
      </c>
      <c r="B27" s="11" t="s">
        <v>352</v>
      </c>
      <c r="C27" s="11" t="s">
        <v>275</v>
      </c>
      <c r="D27" s="11" t="s">
        <v>353</v>
      </c>
    </row>
    <row r="28" customFormat="false" ht="28.5" hidden="false" customHeight="true" outlineLevel="0" collapsed="false">
      <c r="A28" s="12" t="s">
        <v>354</v>
      </c>
      <c r="B28" s="11" t="s">
        <v>355</v>
      </c>
      <c r="C28" s="11" t="s">
        <v>356</v>
      </c>
      <c r="D28" s="11" t="s">
        <v>357</v>
      </c>
    </row>
    <row r="29" customFormat="false" ht="15.75" hidden="false" customHeight="true" outlineLevel="0" collapsed="false">
      <c r="A29" s="12" t="s">
        <v>358</v>
      </c>
      <c r="B29" s="11" t="s">
        <v>359</v>
      </c>
      <c r="C29" s="11" t="s">
        <v>360</v>
      </c>
      <c r="D29" s="11" t="s">
        <v>361</v>
      </c>
    </row>
    <row r="30" customFormat="false" ht="28.5" hidden="false" customHeight="true" outlineLevel="0" collapsed="false">
      <c r="A30" s="12" t="s">
        <v>362</v>
      </c>
      <c r="B30" s="11" t="s">
        <v>363</v>
      </c>
      <c r="C30" s="11" t="s">
        <v>364</v>
      </c>
      <c r="D30" s="11" t="s">
        <v>365</v>
      </c>
    </row>
    <row r="31" customFormat="false" ht="15.75" hidden="false" customHeight="true" outlineLevel="0" collapsed="false">
      <c r="A31" s="12" t="s">
        <v>366</v>
      </c>
      <c r="B31" s="11" t="s">
        <v>367</v>
      </c>
      <c r="C31" s="11" t="s">
        <v>310</v>
      </c>
      <c r="D31" s="11" t="s">
        <v>368</v>
      </c>
    </row>
    <row r="32" customFormat="false" ht="28.5" hidden="false" customHeight="true" outlineLevel="0" collapsed="false">
      <c r="A32" s="12" t="s">
        <v>369</v>
      </c>
      <c r="B32" s="11" t="s">
        <v>370</v>
      </c>
      <c r="C32" s="11" t="s">
        <v>371</v>
      </c>
      <c r="D32" s="11" t="s">
        <v>372</v>
      </c>
    </row>
    <row r="33" customFormat="false" ht="28.5" hidden="false" customHeight="true" outlineLevel="0" collapsed="false">
      <c r="A33" s="12" t="s">
        <v>373</v>
      </c>
      <c r="B33" s="11" t="s">
        <v>374</v>
      </c>
      <c r="C33" s="11" t="s">
        <v>375</v>
      </c>
      <c r="D33" s="11" t="s">
        <v>376</v>
      </c>
    </row>
    <row r="34" customFormat="false" ht="28.5" hidden="false" customHeight="true" outlineLevel="0" collapsed="false">
      <c r="A34" s="12" t="s">
        <v>377</v>
      </c>
      <c r="B34" s="11" t="s">
        <v>378</v>
      </c>
      <c r="C34" s="11" t="s">
        <v>379</v>
      </c>
      <c r="D34" s="11" t="s">
        <v>380</v>
      </c>
    </row>
    <row r="35" customFormat="false" ht="28.5" hidden="false" customHeight="true" outlineLevel="0" collapsed="false">
      <c r="A35" s="12" t="s">
        <v>381</v>
      </c>
      <c r="B35" s="11" t="s">
        <v>382</v>
      </c>
      <c r="C35" s="11" t="s">
        <v>383</v>
      </c>
      <c r="D35" s="11" t="s">
        <v>384</v>
      </c>
    </row>
    <row r="36" customFormat="false" ht="28.5" hidden="false" customHeight="true" outlineLevel="0" collapsed="false">
      <c r="A36" s="12" t="s">
        <v>385</v>
      </c>
      <c r="B36" s="11" t="s">
        <v>386</v>
      </c>
      <c r="C36" s="11" t="s">
        <v>387</v>
      </c>
      <c r="D36" s="11" t="s">
        <v>388</v>
      </c>
    </row>
    <row r="37" customFormat="false" ht="28.5" hidden="false" customHeight="true" outlineLevel="0" collapsed="false">
      <c r="A37" s="12" t="s">
        <v>389</v>
      </c>
      <c r="B37" s="11" t="s">
        <v>390</v>
      </c>
      <c r="C37" s="11" t="s">
        <v>338</v>
      </c>
      <c r="D37" s="11" t="s">
        <v>391</v>
      </c>
    </row>
    <row r="38" customFormat="false" ht="15.75" hidden="false" customHeight="true" outlineLevel="0" collapsed="false">
      <c r="A38" s="12" t="s">
        <v>392</v>
      </c>
      <c r="B38" s="11" t="s">
        <v>393</v>
      </c>
      <c r="C38" s="11" t="s">
        <v>394</v>
      </c>
      <c r="D38" s="11" t="s">
        <v>395</v>
      </c>
    </row>
    <row r="39" customFormat="false" ht="15.75" hidden="false" customHeight="true" outlineLevel="0" collapsed="false">
      <c r="A39" s="12" t="s">
        <v>396</v>
      </c>
      <c r="B39" s="11" t="s">
        <v>397</v>
      </c>
      <c r="C39" s="11" t="s">
        <v>398</v>
      </c>
      <c r="D39" s="11" t="s">
        <v>399</v>
      </c>
    </row>
    <row r="40" customFormat="false" ht="28.5" hidden="false" customHeight="true" outlineLevel="0" collapsed="false">
      <c r="A40" s="12" t="s">
        <v>400</v>
      </c>
      <c r="B40" s="11" t="s">
        <v>401</v>
      </c>
      <c r="C40" s="11" t="s">
        <v>402</v>
      </c>
      <c r="D40" s="11" t="s">
        <v>403</v>
      </c>
    </row>
    <row r="41" customFormat="false" ht="28.5" hidden="false" customHeight="true" outlineLevel="0" collapsed="false">
      <c r="A41" s="12" t="s">
        <v>404</v>
      </c>
      <c r="B41" s="11" t="s">
        <v>405</v>
      </c>
      <c r="C41" s="11" t="s">
        <v>406</v>
      </c>
      <c r="D41" s="11" t="s">
        <v>407</v>
      </c>
    </row>
    <row r="42" customFormat="false" ht="28.5" hidden="false" customHeight="true" outlineLevel="0" collapsed="false">
      <c r="A42" s="12" t="s">
        <v>408</v>
      </c>
      <c r="B42" s="11" t="s">
        <v>409</v>
      </c>
      <c r="C42" s="11" t="s">
        <v>410</v>
      </c>
      <c r="D42" s="11" t="s">
        <v>411</v>
      </c>
    </row>
    <row r="43" customFormat="false" ht="28.5" hidden="false" customHeight="true" outlineLevel="0" collapsed="false">
      <c r="A43" s="12" t="s">
        <v>412</v>
      </c>
      <c r="B43" s="11" t="s">
        <v>413</v>
      </c>
      <c r="C43" s="11" t="s">
        <v>414</v>
      </c>
      <c r="D43" s="11" t="s">
        <v>415</v>
      </c>
    </row>
    <row r="44" customFormat="false" ht="15.75" hidden="false" customHeight="true" outlineLevel="0" collapsed="false">
      <c r="A44" s="12" t="s">
        <v>416</v>
      </c>
      <c r="B44" s="11" t="s">
        <v>417</v>
      </c>
      <c r="C44" s="11" t="s">
        <v>418</v>
      </c>
      <c r="D44" s="11" t="s">
        <v>419</v>
      </c>
    </row>
    <row r="45" customFormat="false" ht="15.75" hidden="false" customHeight="true" outlineLevel="0" collapsed="false">
      <c r="A45" s="12" t="s">
        <v>420</v>
      </c>
      <c r="B45" s="11" t="s">
        <v>421</v>
      </c>
      <c r="C45" s="11" t="s">
        <v>422</v>
      </c>
      <c r="D45" s="11" t="s">
        <v>423</v>
      </c>
    </row>
    <row r="46" customFormat="false" ht="28.5" hidden="false" customHeight="true" outlineLevel="0" collapsed="false">
      <c r="A46" s="12" t="s">
        <v>424</v>
      </c>
      <c r="B46" s="11" t="s">
        <v>425</v>
      </c>
      <c r="C46" s="11" t="s">
        <v>426</v>
      </c>
      <c r="D46" s="11" t="s">
        <v>427</v>
      </c>
    </row>
    <row r="48" customFormat="false" ht="15" hidden="false" customHeight="false" outlineLevel="0" collapsed="false">
      <c r="A48" s="16" t="s">
        <v>428</v>
      </c>
      <c r="B48" s="16"/>
      <c r="C48" s="16"/>
      <c r="D48" s="16"/>
    </row>
    <row r="49" customFormat="false" ht="15" hidden="false" customHeight="false" outlineLevel="0" collapsed="false">
      <c r="A49" s="8" t="s">
        <v>261</v>
      </c>
      <c r="B49" s="8" t="s">
        <v>262</v>
      </c>
      <c r="C49" s="8" t="s">
        <v>263</v>
      </c>
      <c r="D49" s="8" t="s">
        <v>264</v>
      </c>
    </row>
    <row r="50" customFormat="false" ht="28.5" hidden="false" customHeight="true" outlineLevel="0" collapsed="false">
      <c r="A50" s="12" t="s">
        <v>429</v>
      </c>
      <c r="B50" s="11" t="s">
        <v>430</v>
      </c>
      <c r="C50" s="11" t="s">
        <v>431</v>
      </c>
      <c r="D50" s="11" t="s">
        <v>432</v>
      </c>
    </row>
    <row r="51" customFormat="false" ht="28.5" hidden="false" customHeight="true" outlineLevel="0" collapsed="false">
      <c r="A51" s="12" t="s">
        <v>433</v>
      </c>
      <c r="B51" s="11" t="s">
        <v>434</v>
      </c>
      <c r="C51" s="11" t="s">
        <v>435</v>
      </c>
      <c r="D51" s="11" t="s">
        <v>436</v>
      </c>
    </row>
    <row r="52" customFormat="false" ht="15.75" hidden="false" customHeight="true" outlineLevel="0" collapsed="false">
      <c r="A52" s="12" t="s">
        <v>437</v>
      </c>
      <c r="B52" s="11" t="s">
        <v>438</v>
      </c>
      <c r="C52" s="11" t="s">
        <v>439</v>
      </c>
      <c r="D52" s="11" t="s">
        <v>440</v>
      </c>
    </row>
    <row r="53" customFormat="false" ht="28.5" hidden="false" customHeight="true" outlineLevel="0" collapsed="false">
      <c r="A53" s="12" t="s">
        <v>441</v>
      </c>
      <c r="B53" s="11" t="s">
        <v>442</v>
      </c>
      <c r="C53" s="11" t="s">
        <v>443</v>
      </c>
      <c r="D53" s="11" t="s">
        <v>365</v>
      </c>
    </row>
    <row r="54" customFormat="false" ht="28.5" hidden="false" customHeight="true" outlineLevel="0" collapsed="false">
      <c r="A54" s="12" t="s">
        <v>444</v>
      </c>
      <c r="B54" s="11" t="s">
        <v>445</v>
      </c>
      <c r="C54" s="11" t="s">
        <v>446</v>
      </c>
      <c r="D54" s="11" t="s">
        <v>447</v>
      </c>
    </row>
    <row r="55" customFormat="false" ht="28.5" hidden="false" customHeight="true" outlineLevel="0" collapsed="false">
      <c r="A55" s="12" t="s">
        <v>448</v>
      </c>
      <c r="B55" s="11" t="s">
        <v>449</v>
      </c>
      <c r="C55" s="11" t="s">
        <v>450</v>
      </c>
      <c r="D55" s="11" t="s">
        <v>451</v>
      </c>
    </row>
    <row r="56" customFormat="false" ht="28.5" hidden="false" customHeight="true" outlineLevel="0" collapsed="false">
      <c r="A56" s="12" t="s">
        <v>448</v>
      </c>
      <c r="B56" s="11" t="s">
        <v>452</v>
      </c>
      <c r="C56" s="11" t="s">
        <v>453</v>
      </c>
      <c r="D56" s="11" t="s">
        <v>454</v>
      </c>
    </row>
    <row r="57" customFormat="false" ht="28.5" hidden="false" customHeight="true" outlineLevel="0" collapsed="false">
      <c r="A57" s="12" t="s">
        <v>455</v>
      </c>
      <c r="B57" s="11" t="s">
        <v>456</v>
      </c>
      <c r="C57" s="11" t="s">
        <v>457</v>
      </c>
      <c r="D57" s="11" t="s">
        <v>458</v>
      </c>
    </row>
    <row r="58" customFormat="false" ht="28.5" hidden="false" customHeight="true" outlineLevel="0" collapsed="false">
      <c r="A58" s="12" t="s">
        <v>459</v>
      </c>
      <c r="B58" s="11" t="s">
        <v>460</v>
      </c>
      <c r="C58" s="11" t="s">
        <v>461</v>
      </c>
      <c r="D58" s="11" t="s">
        <v>462</v>
      </c>
    </row>
    <row r="59" customFormat="false" ht="28.5" hidden="false" customHeight="true" outlineLevel="0" collapsed="false">
      <c r="A59" s="12" t="s">
        <v>463</v>
      </c>
      <c r="B59" s="11" t="s">
        <v>464</v>
      </c>
      <c r="C59" s="11" t="s">
        <v>465</v>
      </c>
      <c r="D59" s="11" t="s">
        <v>466</v>
      </c>
    </row>
    <row r="60" customFormat="false" ht="28.5" hidden="false" customHeight="true" outlineLevel="0" collapsed="false">
      <c r="A60" s="12" t="s">
        <v>467</v>
      </c>
      <c r="B60" s="11" t="s">
        <v>468</v>
      </c>
      <c r="C60" s="11" t="s">
        <v>469</v>
      </c>
      <c r="D60" s="11" t="s">
        <v>470</v>
      </c>
    </row>
  </sheetData>
  <mergeCells count="1">
    <mergeCell ref="A48:D48"/>
  </mergeCells>
  <hyperlinks>
    <hyperlink ref="D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74"/>
  </cols>
  <sheetData>
    <row r="1" customFormat="false" ht="17.35" hidden="false" customHeight="false" outlineLevel="0" collapsed="false">
      <c r="A1" s="1" t="s">
        <v>471</v>
      </c>
      <c r="G1" s="14" t="s">
        <v>131</v>
      </c>
    </row>
    <row r="2" customFormat="false" ht="15" hidden="false" customHeight="false" outlineLevel="0" collapsed="false">
      <c r="A2" s="15" t="s">
        <v>472</v>
      </c>
    </row>
    <row r="4" customFormat="false" ht="35.05" hidden="false" customHeight="false" outlineLevel="0" collapsed="false">
      <c r="A4" s="8" t="s">
        <v>473</v>
      </c>
      <c r="B4" s="8" t="s">
        <v>474</v>
      </c>
      <c r="C4" s="8" t="s">
        <v>475</v>
      </c>
      <c r="D4" s="8" t="s">
        <v>476</v>
      </c>
      <c r="E4" s="8" t="s">
        <v>477</v>
      </c>
      <c r="F4" s="8" t="s">
        <v>478</v>
      </c>
      <c r="G4" s="8" t="s">
        <v>479</v>
      </c>
    </row>
    <row r="5" customFormat="false" ht="15" hidden="false" customHeight="false" outlineLevel="0" collapsed="false">
      <c r="A5" s="16" t="s">
        <v>480</v>
      </c>
      <c r="B5" s="16"/>
      <c r="C5" s="16"/>
      <c r="D5" s="16"/>
      <c r="E5" s="16"/>
      <c r="F5" s="16"/>
      <c r="G5" s="16"/>
    </row>
    <row r="6" customFormat="false" ht="28.5" hidden="false" customHeight="true" outlineLevel="0" collapsed="false">
      <c r="A6" s="11" t="s">
        <v>481</v>
      </c>
      <c r="B6" s="17" t="n">
        <v>6614.35</v>
      </c>
      <c r="C6" s="17" t="n">
        <v>0.77</v>
      </c>
      <c r="D6" s="18" t="n">
        <f aca="false">B6*C6</f>
        <v>5093.0495</v>
      </c>
      <c r="E6" s="17" t="n">
        <v>5093.05</v>
      </c>
      <c r="F6" s="18" t="n">
        <f aca="false">D6-E6</f>
        <v>-0.000500000000101863</v>
      </c>
      <c r="G6" s="11" t="s">
        <v>482</v>
      </c>
    </row>
    <row r="7" customFormat="false" ht="28.5" hidden="false" customHeight="true" outlineLevel="0" collapsed="false">
      <c r="A7" s="11" t="s">
        <v>483</v>
      </c>
      <c r="B7" s="17" t="n">
        <v>66</v>
      </c>
      <c r="C7" s="17" t="n">
        <v>18</v>
      </c>
      <c r="D7" s="18" t="n">
        <f aca="false">B7*C7</f>
        <v>1188</v>
      </c>
      <c r="E7" s="17" t="n">
        <v>1188</v>
      </c>
      <c r="F7" s="18" t="n">
        <f aca="false">D7-E7</f>
        <v>0</v>
      </c>
      <c r="G7" s="11" t="s">
        <v>484</v>
      </c>
    </row>
    <row r="8" customFormat="false" ht="28.5" hidden="false" customHeight="true" outlineLevel="0" collapsed="false">
      <c r="A8" s="11" t="s">
        <v>485</v>
      </c>
      <c r="B8" s="19" t="n">
        <v>3564</v>
      </c>
      <c r="C8" s="19" t="n">
        <v>1188</v>
      </c>
      <c r="D8" s="20" t="n">
        <f aca="false">B8/C8</f>
        <v>3</v>
      </c>
      <c r="E8" s="20" t="n">
        <f aca="false">30/8</f>
        <v>3.75</v>
      </c>
      <c r="F8" s="20" t="n">
        <f aca="false">D8-E8</f>
        <v>-0.75</v>
      </c>
      <c r="G8" s="11" t="s">
        <v>486</v>
      </c>
    </row>
    <row r="9" customFormat="false" ht="28.5" hidden="false" customHeight="true" outlineLevel="0" collapsed="false">
      <c r="A9" s="11" t="s">
        <v>487</v>
      </c>
      <c r="B9" s="17" t="n">
        <v>6614.35</v>
      </c>
      <c r="C9" s="17" t="n">
        <v>57.58</v>
      </c>
      <c r="D9" s="18" t="n">
        <f aca="false">B9/C9</f>
        <v>114.872351510941</v>
      </c>
      <c r="E9" s="21"/>
      <c r="F9" s="21"/>
      <c r="G9" s="11" t="s">
        <v>488</v>
      </c>
    </row>
    <row r="10" customFormat="false" ht="28.5" hidden="false" customHeight="true" outlineLevel="0" collapsed="false">
      <c r="A10" s="11" t="s">
        <v>489</v>
      </c>
      <c r="B10" s="17" t="n">
        <v>7585.0134</v>
      </c>
      <c r="C10" s="17" t="n">
        <v>57.58</v>
      </c>
      <c r="D10" s="18" t="n">
        <f aca="false">B10/C10</f>
        <v>131.73</v>
      </c>
      <c r="E10" s="21"/>
      <c r="F10" s="21"/>
      <c r="G10" s="11" t="s">
        <v>490</v>
      </c>
    </row>
    <row r="11" customFormat="false" ht="15.75" hidden="false" customHeight="true" outlineLevel="0" collapsed="false">
      <c r="A11" s="11" t="s">
        <v>491</v>
      </c>
      <c r="B11" s="17" t="n">
        <v>6614.35</v>
      </c>
      <c r="C11" s="17" t="n">
        <v>6269.9</v>
      </c>
      <c r="D11" s="18" t="n">
        <f aca="false">B11-C11</f>
        <v>344.450000000001</v>
      </c>
      <c r="E11" s="21"/>
      <c r="F11" s="21"/>
      <c r="G11" s="11" t="s">
        <v>492</v>
      </c>
    </row>
    <row r="12" customFormat="false" ht="28.5" hidden="false" customHeight="true" outlineLevel="0" collapsed="false">
      <c r="A12" s="11" t="s">
        <v>493</v>
      </c>
      <c r="B12" s="17" t="n">
        <v>6894.28</v>
      </c>
      <c r="C12" s="17" t="n">
        <v>6614.35</v>
      </c>
      <c r="D12" s="18" t="n">
        <f aca="false">B12-C12</f>
        <v>279.929999999999</v>
      </c>
      <c r="E12" s="18" t="n">
        <f aca="false">D11</f>
        <v>344.450000000001</v>
      </c>
      <c r="F12" s="18" t="n">
        <f aca="false">D12-E12</f>
        <v>-64.5200000000014</v>
      </c>
      <c r="G12" s="11" t="s">
        <v>494</v>
      </c>
    </row>
    <row r="13" customFormat="false" ht="15" hidden="false" customHeight="false" outlineLevel="0" collapsed="false">
      <c r="A13" s="16" t="s">
        <v>495</v>
      </c>
      <c r="B13" s="16"/>
      <c r="C13" s="16"/>
      <c r="D13" s="16"/>
      <c r="E13" s="16"/>
      <c r="F13" s="16"/>
      <c r="G13" s="16"/>
    </row>
    <row r="14" customFormat="false" ht="15.75" hidden="false" customHeight="true" outlineLevel="0" collapsed="false">
      <c r="A14" s="11" t="s">
        <v>496</v>
      </c>
      <c r="B14" s="17" t="n">
        <v>305.889</v>
      </c>
      <c r="C14" s="17" t="n">
        <v>94.59</v>
      </c>
      <c r="D14" s="18" t="n">
        <f aca="false">B14*C14</f>
        <v>28934.04051</v>
      </c>
      <c r="E14" s="17" t="n">
        <v>28934.04</v>
      </c>
      <c r="F14" s="18" t="n">
        <f aca="false">D14-E14</f>
        <v>0.000510000001668232</v>
      </c>
      <c r="G14" s="11" t="s">
        <v>497</v>
      </c>
    </row>
    <row r="15" customFormat="false" ht="15.75" hidden="false" customHeight="true" outlineLevel="0" collapsed="false">
      <c r="A15" s="11" t="s">
        <v>498</v>
      </c>
      <c r="B15" s="17" t="n">
        <v>28934.04</v>
      </c>
      <c r="C15" s="17" t="n">
        <v>1.39</v>
      </c>
      <c r="D15" s="18" t="n">
        <f aca="false">B15*C15</f>
        <v>40218.3156</v>
      </c>
      <c r="E15" s="17" t="n">
        <v>40218.31</v>
      </c>
      <c r="F15" s="18" t="n">
        <f aca="false">D15-E15</f>
        <v>0.00560000000405125</v>
      </c>
      <c r="G15" s="11" t="s">
        <v>499</v>
      </c>
    </row>
    <row r="16" customFormat="false" ht="15.75" hidden="false" customHeight="true" outlineLevel="0" collapsed="false">
      <c r="A16" s="11" t="s">
        <v>500</v>
      </c>
      <c r="B16" s="17" t="n">
        <v>28934.04</v>
      </c>
      <c r="C16" s="17" t="n">
        <v>0.77</v>
      </c>
      <c r="D16" s="18" t="n">
        <f aca="false">B16*C16</f>
        <v>22279.2108</v>
      </c>
      <c r="E16" s="17" t="n">
        <v>22279.21</v>
      </c>
      <c r="F16" s="18" t="n">
        <f aca="false">D16-E16</f>
        <v>0.000800000001618173</v>
      </c>
      <c r="G16" s="11" t="s">
        <v>497</v>
      </c>
    </row>
    <row r="17" customFormat="false" ht="15" hidden="false" customHeight="false" outlineLevel="0" collapsed="false">
      <c r="A17" s="16" t="s">
        <v>501</v>
      </c>
      <c r="B17" s="16"/>
      <c r="C17" s="16"/>
      <c r="D17" s="16"/>
      <c r="E17" s="16"/>
      <c r="F17" s="16"/>
      <c r="G17" s="16"/>
    </row>
    <row r="18" customFormat="false" ht="28.5" hidden="false" customHeight="true" outlineLevel="0" collapsed="false">
      <c r="A18" s="11" t="s">
        <v>502</v>
      </c>
      <c r="B18" s="17" t="n">
        <v>28934.04</v>
      </c>
      <c r="C18" s="17" t="n">
        <v>1.5</v>
      </c>
      <c r="D18" s="18" t="n">
        <f aca="false">B18*C18</f>
        <v>43401.06</v>
      </c>
      <c r="E18" s="17" t="n">
        <v>40218.31</v>
      </c>
      <c r="F18" s="18" t="n">
        <f aca="false">D18-E18</f>
        <v>3182.75</v>
      </c>
      <c r="G18" s="11" t="s">
        <v>503</v>
      </c>
    </row>
    <row r="19" customFormat="false" ht="15.75" hidden="false" customHeight="true" outlineLevel="0" collapsed="false">
      <c r="A19" s="11" t="s">
        <v>504</v>
      </c>
      <c r="B19" s="18" t="n">
        <f aca="false">D18</f>
        <v>43401.06</v>
      </c>
      <c r="C19" s="18" t="n">
        <f aca="false">E18</f>
        <v>40218.31</v>
      </c>
      <c r="D19" s="22" t="n">
        <f aca="false">B19/C19-1</f>
        <v>0.0791368409065423</v>
      </c>
      <c r="E19" s="21"/>
      <c r="F19" s="21"/>
      <c r="G19" s="11" t="s">
        <v>505</v>
      </c>
    </row>
    <row r="21" customFormat="false" ht="28.5" hidden="false" customHeight="true" outlineLevel="0" collapsed="false">
      <c r="A21" s="2" t="s">
        <v>506</v>
      </c>
      <c r="B21" s="2"/>
      <c r="C21" s="2"/>
      <c r="D21" s="2"/>
      <c r="E21" s="2"/>
      <c r="F21" s="2"/>
      <c r="G21" s="2"/>
    </row>
  </sheetData>
  <mergeCells count="4">
    <mergeCell ref="A5:G5"/>
    <mergeCell ref="A13:G13"/>
    <mergeCell ref="A17:G17"/>
    <mergeCell ref="A21:G21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1" t="s">
        <v>507</v>
      </c>
      <c r="F1" s="14" t="s">
        <v>131</v>
      </c>
    </row>
    <row r="2" customFormat="false" ht="27.75" hidden="false" customHeight="true" outlineLevel="0" collapsed="false">
      <c r="A2" s="23" t="s">
        <v>508</v>
      </c>
      <c r="B2" s="23"/>
      <c r="C2" s="23"/>
      <c r="D2" s="23"/>
      <c r="E2" s="23"/>
      <c r="F2" s="23"/>
    </row>
    <row r="4" customFormat="false" ht="15" hidden="false" customHeight="false" outlineLevel="0" collapsed="false">
      <c r="A4" s="16" t="s">
        <v>509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8" t="s">
        <v>261</v>
      </c>
      <c r="B5" s="8" t="s">
        <v>510</v>
      </c>
      <c r="C5" s="8" t="s">
        <v>511</v>
      </c>
    </row>
    <row r="6" customFormat="false" ht="15" hidden="false" customHeight="false" outlineLevel="0" collapsed="false">
      <c r="A6" s="11" t="s">
        <v>512</v>
      </c>
      <c r="B6" s="24" t="n">
        <v>3000</v>
      </c>
      <c r="C6" s="25"/>
    </row>
    <row r="7" customFormat="false" ht="15" hidden="false" customHeight="false" outlineLevel="0" collapsed="false">
      <c r="A7" s="11" t="s">
        <v>513</v>
      </c>
      <c r="B7" s="26" t="n">
        <v>150000</v>
      </c>
      <c r="C7" s="27" t="n">
        <f aca="false">B7/B$16</f>
        <v>0.372208436724566</v>
      </c>
    </row>
    <row r="8" customFormat="false" ht="15" hidden="false" customHeight="false" outlineLevel="0" collapsed="false">
      <c r="A8" s="11" t="s">
        <v>514</v>
      </c>
      <c r="B8" s="26" t="n">
        <v>90000</v>
      </c>
      <c r="C8" s="27" t="n">
        <f aca="false">B8/B$16</f>
        <v>0.223325062034739</v>
      </c>
    </row>
    <row r="9" customFormat="false" ht="15" hidden="false" customHeight="false" outlineLevel="0" collapsed="false">
      <c r="A9" s="11" t="s">
        <v>515</v>
      </c>
      <c r="B9" s="28" t="n">
        <f aca="false">B32</f>
        <v>40000</v>
      </c>
      <c r="C9" s="27" t="n">
        <f aca="false">B9/B$16</f>
        <v>0.0992555831265509</v>
      </c>
    </row>
    <row r="10" customFormat="false" ht="15" hidden="false" customHeight="false" outlineLevel="0" collapsed="false">
      <c r="A10" s="11" t="s">
        <v>516</v>
      </c>
      <c r="B10" s="26" t="n">
        <v>60000</v>
      </c>
      <c r="C10" s="27" t="n">
        <f aca="false">B10/B$16</f>
        <v>0.148883374689826</v>
      </c>
    </row>
    <row r="11" customFormat="false" ht="15" hidden="false" customHeight="false" outlineLevel="0" collapsed="false">
      <c r="A11" s="11" t="s">
        <v>517</v>
      </c>
      <c r="B11" s="26" t="n">
        <v>12000</v>
      </c>
      <c r="C11" s="27" t="n">
        <f aca="false">B11/B$16</f>
        <v>0.0297766749379653</v>
      </c>
    </row>
    <row r="12" customFormat="false" ht="15" hidden="false" customHeight="false" outlineLevel="0" collapsed="false">
      <c r="A12" s="11" t="s">
        <v>518</v>
      </c>
      <c r="B12" s="26" t="n">
        <v>15000</v>
      </c>
      <c r="C12" s="27" t="n">
        <f aca="false">B12/B$16</f>
        <v>0.0372208436724566</v>
      </c>
    </row>
    <row r="13" customFormat="false" ht="15" hidden="false" customHeight="false" outlineLevel="0" collapsed="false">
      <c r="A13" s="11" t="s">
        <v>519</v>
      </c>
      <c r="B13" s="26" t="n">
        <v>10000</v>
      </c>
      <c r="C13" s="27" t="n">
        <f aca="false">B13/B$16</f>
        <v>0.0248138957816377</v>
      </c>
    </row>
    <row r="14" customFormat="false" ht="15" hidden="false" customHeight="false" outlineLevel="0" collapsed="false">
      <c r="A14" s="11" t="s">
        <v>520</v>
      </c>
      <c r="B14" s="26" t="n">
        <v>18000</v>
      </c>
      <c r="C14" s="27" t="n">
        <f aca="false">B14/B$16</f>
        <v>0.0446650124069479</v>
      </c>
    </row>
    <row r="15" customFormat="false" ht="15" hidden="false" customHeight="false" outlineLevel="0" collapsed="false">
      <c r="A15" s="11" t="s">
        <v>521</v>
      </c>
      <c r="B15" s="26" t="n">
        <v>8000</v>
      </c>
      <c r="C15" s="27" t="n">
        <f aca="false">B15/B$16</f>
        <v>0.0198511166253102</v>
      </c>
    </row>
    <row r="16" customFormat="false" ht="15" hidden="false" customHeight="false" outlineLevel="0" collapsed="false">
      <c r="A16" s="12" t="s">
        <v>522</v>
      </c>
      <c r="B16" s="29" t="n">
        <f aca="false">SUM(B7:B15)</f>
        <v>403000</v>
      </c>
      <c r="C16" s="30" t="n">
        <f aca="false">SUM(C7:C15)</f>
        <v>1</v>
      </c>
    </row>
    <row r="17" customFormat="false" ht="15" hidden="false" customHeight="false" outlineLevel="0" collapsed="false">
      <c r="A17" s="12" t="s">
        <v>523</v>
      </c>
      <c r="B17" s="29" t="n">
        <f aca="false">B16/B6</f>
        <v>134.333333333333</v>
      </c>
      <c r="C17" s="25"/>
    </row>
    <row r="19" customFormat="false" ht="15" hidden="false" customHeight="false" outlineLevel="0" collapsed="false">
      <c r="A19" s="16" t="s">
        <v>524</v>
      </c>
      <c r="B19" s="16"/>
      <c r="C19" s="16"/>
      <c r="D19" s="16"/>
      <c r="E19" s="16"/>
      <c r="F19" s="16"/>
    </row>
    <row r="20" customFormat="false" ht="23.85" hidden="false" customHeight="false" outlineLevel="0" collapsed="false">
      <c r="A20" s="11" t="s">
        <v>525</v>
      </c>
      <c r="B20" s="24" t="n">
        <v>2950</v>
      </c>
    </row>
    <row r="21" customFormat="false" ht="15" hidden="false" customHeight="false" outlineLevel="0" collapsed="false">
      <c r="A21" s="11" t="s">
        <v>526</v>
      </c>
      <c r="B21" s="26" t="n">
        <v>55</v>
      </c>
    </row>
    <row r="22" customFormat="false" ht="15" hidden="false" customHeight="false" outlineLevel="0" collapsed="false">
      <c r="A22" s="11" t="s">
        <v>527</v>
      </c>
      <c r="B22" s="28" t="n">
        <f aca="false">B20*B21</f>
        <v>162250</v>
      </c>
    </row>
    <row r="23" customFormat="false" ht="23.85" hidden="false" customHeight="false" outlineLevel="0" collapsed="false">
      <c r="A23" s="12" t="s">
        <v>528</v>
      </c>
      <c r="B23" s="29" t="n">
        <f aca="false">B17+B21</f>
        <v>189.333333333333</v>
      </c>
    </row>
    <row r="24" customFormat="false" ht="15" hidden="false" customHeight="false" outlineLevel="0" collapsed="false">
      <c r="A24" s="31" t="s">
        <v>529</v>
      </c>
    </row>
    <row r="26" customFormat="false" ht="15" hidden="false" customHeight="false" outlineLevel="0" collapsed="false">
      <c r="A26" s="16" t="s">
        <v>530</v>
      </c>
      <c r="B26" s="16"/>
      <c r="C26" s="16"/>
      <c r="D26" s="16"/>
      <c r="E26" s="16"/>
      <c r="F26" s="16"/>
    </row>
    <row r="27" customFormat="false" ht="15" hidden="false" customHeight="false" outlineLevel="0" collapsed="false">
      <c r="A27" s="8" t="s">
        <v>261</v>
      </c>
      <c r="B27" s="8" t="s">
        <v>510</v>
      </c>
    </row>
    <row r="28" customFormat="false" ht="15" hidden="false" customHeight="false" outlineLevel="0" collapsed="false">
      <c r="A28" s="11" t="s">
        <v>531</v>
      </c>
      <c r="B28" s="26" t="n">
        <v>22000</v>
      </c>
    </row>
    <row r="29" customFormat="false" ht="15" hidden="false" customHeight="false" outlineLevel="0" collapsed="false">
      <c r="A29" s="11" t="s">
        <v>532</v>
      </c>
      <c r="B29" s="26" t="n">
        <v>9000</v>
      </c>
    </row>
    <row r="30" customFormat="false" ht="15" hidden="false" customHeight="false" outlineLevel="0" collapsed="false">
      <c r="A30" s="11" t="s">
        <v>533</v>
      </c>
      <c r="B30" s="26" t="n">
        <v>6000</v>
      </c>
    </row>
    <row r="31" customFormat="false" ht="15" hidden="false" customHeight="false" outlineLevel="0" collapsed="false">
      <c r="A31" s="11" t="s">
        <v>534</v>
      </c>
      <c r="B31" s="26" t="n">
        <v>3000</v>
      </c>
    </row>
    <row r="32" customFormat="false" ht="15" hidden="false" customHeight="false" outlineLevel="0" collapsed="false">
      <c r="A32" s="12" t="s">
        <v>535</v>
      </c>
      <c r="B32" s="29" t="n">
        <f aca="false">SUM(B28:B31)</f>
        <v>40000</v>
      </c>
    </row>
    <row r="33" customFormat="false" ht="15" hidden="false" customHeight="false" outlineLevel="0" collapsed="false">
      <c r="A33" s="11" t="s">
        <v>536</v>
      </c>
      <c r="B33" s="24" t="n">
        <v>18000</v>
      </c>
    </row>
    <row r="34" customFormat="false" ht="15" hidden="false" customHeight="false" outlineLevel="0" collapsed="false">
      <c r="A34" s="12" t="s">
        <v>537</v>
      </c>
      <c r="B34" s="29" t="n">
        <f aca="false">B32/B33</f>
        <v>2.22222222222222</v>
      </c>
    </row>
    <row r="35" customFormat="false" ht="15" hidden="false" customHeight="false" outlineLevel="0" collapsed="false">
      <c r="A35" s="11" t="s">
        <v>538</v>
      </c>
      <c r="B35" s="32" t="n">
        <v>1.5</v>
      </c>
    </row>
    <row r="36" customFormat="false" ht="15" hidden="false" customHeight="false" outlineLevel="0" collapsed="false">
      <c r="A36" s="11" t="s">
        <v>539</v>
      </c>
      <c r="B36" s="28" t="n">
        <f aca="false">B34*B35</f>
        <v>3.33333333333333</v>
      </c>
    </row>
    <row r="38" customFormat="false" ht="15" hidden="false" customHeight="false" outlineLevel="0" collapsed="false">
      <c r="A38" s="16" t="s">
        <v>540</v>
      </c>
      <c r="B38" s="16"/>
      <c r="C38" s="16"/>
      <c r="D38" s="16"/>
      <c r="E38" s="16"/>
      <c r="F38" s="16"/>
    </row>
    <row r="39" customFormat="false" ht="15" hidden="false" customHeight="false" outlineLevel="0" collapsed="false">
      <c r="A39" s="8" t="s">
        <v>541</v>
      </c>
      <c r="B39" s="8" t="s">
        <v>542</v>
      </c>
      <c r="C39" s="8" t="s">
        <v>543</v>
      </c>
      <c r="D39" s="8" t="s">
        <v>544</v>
      </c>
      <c r="E39" s="8" t="s">
        <v>545</v>
      </c>
      <c r="F39" s="8" t="s">
        <v>546</v>
      </c>
    </row>
    <row r="40" customFormat="false" ht="15" hidden="false" customHeight="false" outlineLevel="0" collapsed="false">
      <c r="A40" s="11" t="s">
        <v>547</v>
      </c>
      <c r="B40" s="24" t="n">
        <v>42</v>
      </c>
      <c r="C40" s="26" t="n">
        <v>8.5</v>
      </c>
      <c r="D40" s="28" t="n">
        <f aca="false">B40*C40</f>
        <v>357</v>
      </c>
      <c r="E40" s="26" t="n">
        <v>0</v>
      </c>
      <c r="F40" s="28" t="n">
        <f aca="false">D40-E40</f>
        <v>357</v>
      </c>
    </row>
    <row r="41" customFormat="false" ht="15" hidden="false" customHeight="false" outlineLevel="0" collapsed="false">
      <c r="A41" s="11" t="s">
        <v>548</v>
      </c>
      <c r="B41" s="24" t="n">
        <v>38</v>
      </c>
      <c r="C41" s="26" t="n">
        <v>8.5</v>
      </c>
      <c r="D41" s="28" t="n">
        <f aca="false">B41*C41</f>
        <v>323</v>
      </c>
      <c r="E41" s="26" t="n">
        <v>0</v>
      </c>
      <c r="F41" s="28" t="n">
        <f aca="false">D41-E41</f>
        <v>323</v>
      </c>
    </row>
    <row r="42" customFormat="false" ht="15" hidden="false" customHeight="false" outlineLevel="0" collapsed="false">
      <c r="A42" s="11" t="s">
        <v>549</v>
      </c>
      <c r="B42" s="24" t="n">
        <v>45</v>
      </c>
      <c r="C42" s="26" t="n">
        <v>8.5</v>
      </c>
      <c r="D42" s="28" t="n">
        <f aca="false">B42*C42</f>
        <v>382.5</v>
      </c>
      <c r="E42" s="26" t="n">
        <v>25</v>
      </c>
      <c r="F42" s="28" t="n">
        <f aca="false">D42-E42</f>
        <v>357.5</v>
      </c>
    </row>
    <row r="43" customFormat="false" ht="15" hidden="false" customHeight="false" outlineLevel="0" collapsed="false">
      <c r="A43" s="12" t="s">
        <v>550</v>
      </c>
      <c r="B43" s="33" t="n">
        <f aca="false">SUM(B40:B42)</f>
        <v>125</v>
      </c>
      <c r="C43" s="25"/>
      <c r="D43" s="29" t="n">
        <f aca="false">SUM(D40:D42)</f>
        <v>1062.5</v>
      </c>
      <c r="E43" s="29" t="n">
        <f aca="false">SUM(E40:E42)</f>
        <v>25</v>
      </c>
      <c r="F43" s="29" t="n">
        <f aca="false">SUM(F40:F42)</f>
        <v>1037.5</v>
      </c>
    </row>
    <row r="44" customFormat="false" ht="15" hidden="false" customHeight="false" outlineLevel="0" collapsed="false">
      <c r="A44" s="11" t="s">
        <v>551</v>
      </c>
      <c r="F44" s="26" t="n">
        <v>100</v>
      </c>
    </row>
    <row r="45" customFormat="false" ht="15" hidden="false" customHeight="false" outlineLevel="0" collapsed="false">
      <c r="A45" s="12" t="s">
        <v>552</v>
      </c>
      <c r="F45" s="29" t="n">
        <f aca="false">F43-F44</f>
        <v>937.5</v>
      </c>
    </row>
    <row r="47" customFormat="false" ht="30" hidden="false" customHeight="true" outlineLevel="0" collapsed="false">
      <c r="A47" s="2" t="s">
        <v>553</v>
      </c>
      <c r="B47" s="2"/>
      <c r="C47" s="2"/>
      <c r="D47" s="2"/>
      <c r="E47" s="2"/>
      <c r="F47" s="2"/>
    </row>
  </sheetData>
  <mergeCells count="6">
    <mergeCell ref="A2:F2"/>
    <mergeCell ref="A4:F4"/>
    <mergeCell ref="A19:F19"/>
    <mergeCell ref="A26:F26"/>
    <mergeCell ref="A38:F38"/>
    <mergeCell ref="A47:F47"/>
  </mergeCells>
  <hyperlinks>
    <hyperlink ref="F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27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26</v>
      </c>
    </row>
    <row r="3" customFormat="false" ht="15.75" hidden="false" customHeight="true" outlineLevel="0" collapsed="false">
      <c r="A3" s="36" t="s">
        <v>556</v>
      </c>
      <c r="B3" s="2" t="s">
        <v>557</v>
      </c>
      <c r="C3" s="2"/>
      <c r="D3" s="2"/>
      <c r="E3" s="2"/>
      <c r="F3" s="2"/>
      <c r="G3" s="2"/>
    </row>
    <row r="4" customFormat="false" ht="93.75" hidden="false" customHeight="true" outlineLevel="0" collapsed="false">
      <c r="A4" s="36" t="s">
        <v>558</v>
      </c>
      <c r="B4" s="2" t="s">
        <v>559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12" t="s">
        <v>566</v>
      </c>
      <c r="B7" s="11" t="s">
        <v>567</v>
      </c>
      <c r="C7" s="9" t="s">
        <v>568</v>
      </c>
      <c r="D7" s="11" t="s">
        <v>569</v>
      </c>
      <c r="E7" s="11" t="s">
        <v>570</v>
      </c>
      <c r="F7" s="11" t="s">
        <v>571</v>
      </c>
      <c r="G7" s="9" t="s">
        <v>7</v>
      </c>
    </row>
    <row r="8" customFormat="false" ht="15.75" hidden="false" customHeight="true" outlineLevel="0" collapsed="false">
      <c r="A8" s="12" t="s">
        <v>572</v>
      </c>
      <c r="B8" s="11" t="s">
        <v>567</v>
      </c>
      <c r="C8" s="9" t="s">
        <v>568</v>
      </c>
      <c r="D8" s="11" t="s">
        <v>573</v>
      </c>
      <c r="E8" s="11" t="s">
        <v>574</v>
      </c>
      <c r="F8" s="11" t="s">
        <v>575</v>
      </c>
      <c r="G8" s="9" t="s">
        <v>7</v>
      </c>
    </row>
    <row r="9" customFormat="false" ht="15.75" hidden="false" customHeight="true" outlineLevel="0" collapsed="false">
      <c r="A9" s="12" t="s">
        <v>576</v>
      </c>
      <c r="B9" s="11" t="s">
        <v>567</v>
      </c>
      <c r="C9" s="9" t="s">
        <v>568</v>
      </c>
      <c r="D9" s="11" t="s">
        <v>573</v>
      </c>
      <c r="E9" s="11" t="s">
        <v>577</v>
      </c>
      <c r="F9" s="11" t="s">
        <v>571</v>
      </c>
      <c r="G9" s="9" t="s">
        <v>7</v>
      </c>
    </row>
    <row r="10" customFormat="false" ht="28.5" hidden="false" customHeight="true" outlineLevel="0" collapsed="false">
      <c r="A10" s="37" t="s">
        <v>578</v>
      </c>
      <c r="B10" s="38" t="s">
        <v>579</v>
      </c>
      <c r="C10" s="39" t="s">
        <v>580</v>
      </c>
      <c r="D10" s="38" t="s">
        <v>581</v>
      </c>
      <c r="E10" s="38" t="s">
        <v>582</v>
      </c>
      <c r="F10" s="38" t="s">
        <v>583</v>
      </c>
      <c r="G10" s="39" t="s">
        <v>3</v>
      </c>
    </row>
    <row r="11" customFormat="false" ht="28.5" hidden="false" customHeight="true" outlineLevel="0" collapsed="false">
      <c r="A11" s="37" t="s">
        <v>584</v>
      </c>
      <c r="B11" s="38" t="s">
        <v>579</v>
      </c>
      <c r="C11" s="39" t="s">
        <v>585</v>
      </c>
      <c r="D11" s="38" t="s">
        <v>581</v>
      </c>
      <c r="E11" s="38" t="s">
        <v>586</v>
      </c>
      <c r="F11" s="38" t="s">
        <v>587</v>
      </c>
      <c r="G11" s="39" t="s">
        <v>3</v>
      </c>
    </row>
    <row r="12" customFormat="false" ht="42" hidden="false" customHeight="true" outlineLevel="0" collapsed="false">
      <c r="A12" s="40" t="s">
        <v>588</v>
      </c>
      <c r="B12" s="41" t="s">
        <v>579</v>
      </c>
      <c r="C12" s="42" t="s">
        <v>589</v>
      </c>
      <c r="D12" s="41" t="s">
        <v>581</v>
      </c>
      <c r="E12" s="41" t="s">
        <v>590</v>
      </c>
      <c r="F12" s="41" t="s">
        <v>351</v>
      </c>
      <c r="G12" s="42" t="s">
        <v>5</v>
      </c>
    </row>
    <row r="13" customFormat="false" ht="28.5" hidden="false" customHeight="true" outlineLevel="0" collapsed="false">
      <c r="A13" s="40" t="s">
        <v>591</v>
      </c>
      <c r="B13" s="41" t="s">
        <v>579</v>
      </c>
      <c r="C13" s="42" t="s">
        <v>592</v>
      </c>
      <c r="D13" s="41" t="s">
        <v>593</v>
      </c>
      <c r="E13" s="41" t="s">
        <v>594</v>
      </c>
      <c r="F13" s="41" t="s">
        <v>571</v>
      </c>
      <c r="G13" s="42" t="s">
        <v>5</v>
      </c>
    </row>
    <row r="14" customFormat="false" ht="15.75" hidden="false" customHeight="true" outlineLevel="0" collapsed="false">
      <c r="A14" s="37" t="s">
        <v>595</v>
      </c>
      <c r="B14" s="38" t="s">
        <v>579</v>
      </c>
      <c r="C14" s="39" t="s">
        <v>592</v>
      </c>
      <c r="D14" s="38" t="s">
        <v>596</v>
      </c>
      <c r="E14" s="38" t="s">
        <v>597</v>
      </c>
      <c r="F14" s="38" t="s">
        <v>598</v>
      </c>
      <c r="G14" s="39" t="s">
        <v>3</v>
      </c>
    </row>
    <row r="15" customFormat="false" ht="28.5" hidden="false" customHeight="true" outlineLevel="0" collapsed="false">
      <c r="A15" s="40" t="s">
        <v>152</v>
      </c>
      <c r="B15" s="41" t="s">
        <v>567</v>
      </c>
      <c r="C15" s="42" t="s">
        <v>568</v>
      </c>
      <c r="D15" s="41" t="s">
        <v>599</v>
      </c>
      <c r="E15" s="41" t="s">
        <v>600</v>
      </c>
      <c r="F15" s="41" t="s">
        <v>601</v>
      </c>
      <c r="G15" s="42" t="s">
        <v>5</v>
      </c>
    </row>
    <row r="16" customFormat="false" ht="28.5" hidden="false" customHeight="true" outlineLevel="0" collapsed="false">
      <c r="A16" s="40" t="s">
        <v>149</v>
      </c>
      <c r="B16" s="41" t="s">
        <v>567</v>
      </c>
      <c r="C16" s="42" t="s">
        <v>568</v>
      </c>
      <c r="D16" s="41" t="s">
        <v>599</v>
      </c>
      <c r="E16" s="41" t="s">
        <v>602</v>
      </c>
      <c r="F16" s="41" t="s">
        <v>603</v>
      </c>
      <c r="G16" s="42" t="s">
        <v>5</v>
      </c>
    </row>
    <row r="17" customFormat="false" ht="28.5" hidden="false" customHeight="true" outlineLevel="0" collapsed="false">
      <c r="A17" s="37" t="s">
        <v>604</v>
      </c>
      <c r="B17" s="38" t="s">
        <v>567</v>
      </c>
      <c r="C17" s="39" t="s">
        <v>568</v>
      </c>
      <c r="D17" s="38" t="s">
        <v>599</v>
      </c>
      <c r="E17" s="38" t="s">
        <v>605</v>
      </c>
      <c r="F17" s="38" t="s">
        <v>304</v>
      </c>
      <c r="G17" s="39" t="s">
        <v>3</v>
      </c>
    </row>
    <row r="18" customFormat="false" ht="28.5" hidden="false" customHeight="true" outlineLevel="0" collapsed="false">
      <c r="A18" s="40" t="s">
        <v>214</v>
      </c>
      <c r="B18" s="41" t="s">
        <v>567</v>
      </c>
      <c r="C18" s="42" t="s">
        <v>568</v>
      </c>
      <c r="D18" s="41" t="s">
        <v>599</v>
      </c>
      <c r="E18" s="41" t="s">
        <v>606</v>
      </c>
      <c r="F18" s="41" t="s">
        <v>607</v>
      </c>
      <c r="G18" s="42" t="s">
        <v>5</v>
      </c>
    </row>
    <row r="19" customFormat="false" ht="28.5" hidden="false" customHeight="true" outlineLevel="0" collapsed="false">
      <c r="A19" s="37" t="s">
        <v>608</v>
      </c>
      <c r="B19" s="38" t="s">
        <v>579</v>
      </c>
      <c r="C19" s="39" t="s">
        <v>580</v>
      </c>
      <c r="D19" s="38" t="s">
        <v>596</v>
      </c>
      <c r="E19" s="38" t="s">
        <v>609</v>
      </c>
      <c r="F19" s="38" t="s">
        <v>348</v>
      </c>
      <c r="G19" s="39" t="s">
        <v>3</v>
      </c>
    </row>
    <row r="20" customFormat="false" ht="28.5" hidden="false" customHeight="true" outlineLevel="0" collapsed="false">
      <c r="A20" s="40" t="s">
        <v>160</v>
      </c>
      <c r="B20" s="41" t="s">
        <v>579</v>
      </c>
      <c r="C20" s="42" t="s">
        <v>585</v>
      </c>
      <c r="D20" s="41" t="s">
        <v>581</v>
      </c>
      <c r="E20" s="41" t="s">
        <v>610</v>
      </c>
      <c r="F20" s="41" t="s">
        <v>571</v>
      </c>
      <c r="G20" s="42" t="s">
        <v>5</v>
      </c>
    </row>
    <row r="21" customFormat="false" ht="15.75" hidden="false" customHeight="true" outlineLevel="0" collapsed="false">
      <c r="A21" s="37" t="s">
        <v>163</v>
      </c>
      <c r="B21" s="38" t="s">
        <v>579</v>
      </c>
      <c r="C21" s="39" t="s">
        <v>611</v>
      </c>
      <c r="D21" s="38" t="s">
        <v>581</v>
      </c>
      <c r="E21" s="38" t="s">
        <v>612</v>
      </c>
      <c r="F21" s="38" t="s">
        <v>583</v>
      </c>
      <c r="G21" s="39" t="s">
        <v>3</v>
      </c>
    </row>
    <row r="22" customFormat="false" ht="28.5" hidden="false" customHeight="true" outlineLevel="0" collapsed="false">
      <c r="A22" s="40" t="s">
        <v>613</v>
      </c>
      <c r="B22" s="41" t="s">
        <v>614</v>
      </c>
      <c r="C22" s="42" t="s">
        <v>615</v>
      </c>
      <c r="D22" s="41" t="s">
        <v>581</v>
      </c>
      <c r="E22" s="41" t="s">
        <v>616</v>
      </c>
      <c r="F22" s="41" t="s">
        <v>617</v>
      </c>
      <c r="G22" s="42" t="s">
        <v>5</v>
      </c>
    </row>
    <row r="23" customFormat="false" ht="15.75" hidden="false" customHeight="true" outlineLevel="0" collapsed="false">
      <c r="A23" s="37" t="s">
        <v>618</v>
      </c>
      <c r="B23" s="38" t="s">
        <v>614</v>
      </c>
      <c r="C23" s="39" t="s">
        <v>615</v>
      </c>
      <c r="D23" s="38" t="s">
        <v>596</v>
      </c>
      <c r="E23" s="38" t="s">
        <v>619</v>
      </c>
      <c r="F23" s="38" t="s">
        <v>377</v>
      </c>
      <c r="G23" s="39" t="s">
        <v>3</v>
      </c>
    </row>
    <row r="24" customFormat="false" ht="28.5" hidden="false" customHeight="true" outlineLevel="0" collapsed="false">
      <c r="A24" s="37" t="s">
        <v>620</v>
      </c>
      <c r="B24" s="38" t="s">
        <v>614</v>
      </c>
      <c r="C24" s="39" t="s">
        <v>621</v>
      </c>
      <c r="D24" s="38" t="s">
        <v>596</v>
      </c>
      <c r="E24" s="38" t="s">
        <v>622</v>
      </c>
      <c r="F24" s="38" t="s">
        <v>623</v>
      </c>
      <c r="G24" s="39" t="s">
        <v>3</v>
      </c>
    </row>
    <row r="25" customFormat="false" ht="15.75" hidden="false" customHeight="true" outlineLevel="0" collapsed="false">
      <c r="A25" s="37" t="s">
        <v>624</v>
      </c>
      <c r="B25" s="38" t="s">
        <v>614</v>
      </c>
      <c r="C25" s="39" t="s">
        <v>625</v>
      </c>
      <c r="D25" s="38" t="s">
        <v>596</v>
      </c>
      <c r="E25" s="38" t="s">
        <v>626</v>
      </c>
      <c r="F25" s="38" t="s">
        <v>308</v>
      </c>
      <c r="G25" s="39" t="s">
        <v>3</v>
      </c>
    </row>
    <row r="26" customFormat="false" ht="28.5" hidden="false" customHeight="true" outlineLevel="0" collapsed="false">
      <c r="A26" s="37" t="s">
        <v>627</v>
      </c>
      <c r="B26" s="38" t="s">
        <v>579</v>
      </c>
      <c r="C26" s="39" t="s">
        <v>628</v>
      </c>
      <c r="D26" s="38" t="s">
        <v>596</v>
      </c>
      <c r="E26" s="38" t="s">
        <v>629</v>
      </c>
      <c r="F26" s="38" t="s">
        <v>344</v>
      </c>
      <c r="G26" s="39" t="s">
        <v>3</v>
      </c>
    </row>
    <row r="27" customFormat="false" ht="15.75" hidden="false" customHeight="true" outlineLevel="0" collapsed="false">
      <c r="A27" s="37" t="s">
        <v>630</v>
      </c>
      <c r="B27" s="38" t="s">
        <v>614</v>
      </c>
      <c r="C27" s="39" t="s">
        <v>631</v>
      </c>
      <c r="D27" s="38" t="s">
        <v>596</v>
      </c>
      <c r="E27" s="38" t="s">
        <v>632</v>
      </c>
      <c r="F27" s="38" t="s">
        <v>344</v>
      </c>
      <c r="G27" s="39" t="s">
        <v>3</v>
      </c>
    </row>
    <row r="28" customFormat="false" ht="15.75" hidden="false" customHeight="true" outlineLevel="0" collapsed="false">
      <c r="A28" s="37" t="s">
        <v>633</v>
      </c>
      <c r="B28" s="38" t="s">
        <v>579</v>
      </c>
      <c r="C28" s="39" t="s">
        <v>592</v>
      </c>
      <c r="D28" s="38" t="s">
        <v>596</v>
      </c>
      <c r="E28" s="38" t="s">
        <v>634</v>
      </c>
      <c r="F28" s="38" t="s">
        <v>336</v>
      </c>
      <c r="G28" s="39" t="s">
        <v>3</v>
      </c>
    </row>
    <row r="29" customFormat="false" ht="15.75" hidden="false" customHeight="true" outlineLevel="0" collapsed="false">
      <c r="A29" s="37" t="s">
        <v>635</v>
      </c>
      <c r="B29" s="38" t="s">
        <v>636</v>
      </c>
      <c r="C29" s="39" t="s">
        <v>568</v>
      </c>
      <c r="D29" s="38" t="s">
        <v>596</v>
      </c>
      <c r="E29" s="38" t="s">
        <v>637</v>
      </c>
      <c r="F29" s="38" t="s">
        <v>638</v>
      </c>
      <c r="G29" s="39" t="s">
        <v>3</v>
      </c>
    </row>
    <row r="30" customFormat="false" ht="15.75" hidden="false" customHeight="true" outlineLevel="0" collapsed="false">
      <c r="A30" s="37" t="s">
        <v>639</v>
      </c>
      <c r="B30" s="38" t="s">
        <v>614</v>
      </c>
      <c r="C30" s="39" t="s">
        <v>640</v>
      </c>
      <c r="D30" s="38" t="s">
        <v>596</v>
      </c>
      <c r="E30" s="38" t="s">
        <v>641</v>
      </c>
      <c r="F30" s="38" t="s">
        <v>638</v>
      </c>
      <c r="G30" s="39" t="s">
        <v>3</v>
      </c>
    </row>
    <row r="31" customFormat="false" ht="15.75" hidden="false" customHeight="true" outlineLevel="0" collapsed="false">
      <c r="A31" s="37" t="s">
        <v>642</v>
      </c>
      <c r="B31" s="38" t="s">
        <v>636</v>
      </c>
      <c r="C31" s="39" t="s">
        <v>568</v>
      </c>
      <c r="D31" s="38" t="s">
        <v>596</v>
      </c>
      <c r="E31" s="38" t="s">
        <v>643</v>
      </c>
      <c r="F31" s="38" t="s">
        <v>644</v>
      </c>
      <c r="G31" s="39" t="s">
        <v>3</v>
      </c>
    </row>
    <row r="32" customFormat="false" ht="15.75" hidden="false" customHeight="true" outlineLevel="0" collapsed="false">
      <c r="A32" s="37" t="s">
        <v>645</v>
      </c>
      <c r="B32" s="38" t="s">
        <v>182</v>
      </c>
      <c r="C32" s="39" t="s">
        <v>568</v>
      </c>
      <c r="D32" s="38" t="s">
        <v>581</v>
      </c>
      <c r="E32" s="38" t="s">
        <v>646</v>
      </c>
      <c r="F32" s="38" t="s">
        <v>416</v>
      </c>
      <c r="G32" s="39" t="s">
        <v>3</v>
      </c>
    </row>
    <row r="33" customFormat="false" ht="28.5" hidden="false" customHeight="true" outlineLevel="0" collapsed="false">
      <c r="A33" s="12" t="s">
        <v>647</v>
      </c>
      <c r="B33" s="11" t="s">
        <v>182</v>
      </c>
      <c r="C33" s="9" t="s">
        <v>568</v>
      </c>
      <c r="D33" s="11" t="s">
        <v>581</v>
      </c>
      <c r="E33" s="11" t="s">
        <v>648</v>
      </c>
      <c r="F33" s="11" t="s">
        <v>571</v>
      </c>
      <c r="G33" s="9" t="s">
        <v>7</v>
      </c>
    </row>
    <row r="34" customFormat="false" ht="28.5" hidden="false" customHeight="true" outlineLevel="0" collapsed="false">
      <c r="A34" s="37" t="s">
        <v>649</v>
      </c>
      <c r="B34" s="38" t="s">
        <v>579</v>
      </c>
      <c r="C34" s="39" t="s">
        <v>650</v>
      </c>
      <c r="D34" s="38" t="s">
        <v>651</v>
      </c>
      <c r="E34" s="38" t="s">
        <v>652</v>
      </c>
      <c r="F34" s="38" t="s">
        <v>653</v>
      </c>
      <c r="G34" s="39" t="s">
        <v>3</v>
      </c>
    </row>
    <row r="35" customFormat="false" ht="15.75" hidden="false" customHeight="true" outlineLevel="0" collapsed="false">
      <c r="A35" s="37" t="s">
        <v>654</v>
      </c>
      <c r="B35" s="38" t="s">
        <v>579</v>
      </c>
      <c r="C35" s="39" t="s">
        <v>585</v>
      </c>
      <c r="D35" s="38" t="s">
        <v>596</v>
      </c>
      <c r="E35" s="38" t="s">
        <v>655</v>
      </c>
      <c r="F35" s="38" t="s">
        <v>656</v>
      </c>
      <c r="G35" s="39" t="s">
        <v>3</v>
      </c>
    </row>
    <row r="36" customFormat="false" ht="15.75" hidden="false" customHeight="true" outlineLevel="0" collapsed="false">
      <c r="A36" s="40" t="s">
        <v>657</v>
      </c>
      <c r="B36" s="41" t="s">
        <v>579</v>
      </c>
      <c r="C36" s="42" t="s">
        <v>585</v>
      </c>
      <c r="D36" s="41" t="s">
        <v>596</v>
      </c>
      <c r="E36" s="41" t="s">
        <v>658</v>
      </c>
      <c r="F36" s="41" t="s">
        <v>659</v>
      </c>
      <c r="G36" s="42" t="s">
        <v>5</v>
      </c>
    </row>
    <row r="37" customFormat="false" ht="15.75" hidden="false" customHeight="true" outlineLevel="0" collapsed="false">
      <c r="A37" s="37" t="s">
        <v>660</v>
      </c>
      <c r="B37" s="38" t="s">
        <v>614</v>
      </c>
      <c r="C37" s="39" t="s">
        <v>661</v>
      </c>
      <c r="D37" s="38" t="s">
        <v>596</v>
      </c>
      <c r="E37" s="38" t="s">
        <v>662</v>
      </c>
      <c r="F37" s="38" t="s">
        <v>663</v>
      </c>
      <c r="G37" s="39" t="s">
        <v>3</v>
      </c>
    </row>
    <row r="38" customFormat="false" ht="28.5" hidden="false" customHeight="true" outlineLevel="0" collapsed="false">
      <c r="A38" s="40" t="s">
        <v>664</v>
      </c>
      <c r="B38" s="41" t="s">
        <v>614</v>
      </c>
      <c r="C38" s="42" t="s">
        <v>661</v>
      </c>
      <c r="D38" s="41" t="s">
        <v>596</v>
      </c>
      <c r="E38" s="41" t="s">
        <v>665</v>
      </c>
      <c r="F38" s="41" t="s">
        <v>666</v>
      </c>
      <c r="G38" s="42" t="s">
        <v>5</v>
      </c>
    </row>
    <row r="39" customFormat="false" ht="15.75" hidden="false" customHeight="true" outlineLevel="0" collapsed="false">
      <c r="A39" s="37" t="s">
        <v>667</v>
      </c>
      <c r="B39" s="38" t="s">
        <v>579</v>
      </c>
      <c r="C39" s="39" t="s">
        <v>668</v>
      </c>
      <c r="D39" s="38" t="s">
        <v>596</v>
      </c>
      <c r="E39" s="38" t="s">
        <v>669</v>
      </c>
      <c r="F39" s="38" t="s">
        <v>663</v>
      </c>
      <c r="G39" s="39" t="s">
        <v>3</v>
      </c>
    </row>
    <row r="40" customFormat="false" ht="15.75" hidden="false" customHeight="true" outlineLevel="0" collapsed="false">
      <c r="A40" s="12" t="s">
        <v>670</v>
      </c>
      <c r="B40" s="11" t="s">
        <v>579</v>
      </c>
      <c r="C40" s="9" t="s">
        <v>671</v>
      </c>
      <c r="D40" s="11" t="s">
        <v>596</v>
      </c>
      <c r="E40" s="11" t="s">
        <v>672</v>
      </c>
      <c r="F40" s="11" t="s">
        <v>571</v>
      </c>
      <c r="G40" s="9" t="s">
        <v>7</v>
      </c>
    </row>
    <row r="41" customFormat="false" ht="28.5" hidden="false" customHeight="true" outlineLevel="0" collapsed="false">
      <c r="A41" s="11" t="s">
        <v>673</v>
      </c>
      <c r="B41" s="11"/>
      <c r="C41" s="9"/>
      <c r="D41" s="11"/>
      <c r="E41" s="11" t="s">
        <v>674</v>
      </c>
      <c r="F41" s="11"/>
      <c r="G41" s="9"/>
    </row>
    <row r="43" customFormat="false" ht="15" hidden="false" customHeight="false" outlineLevel="0" collapsed="false">
      <c r="A43" s="3" t="s">
        <v>675</v>
      </c>
    </row>
    <row r="44" customFormat="false" ht="15.75" hidden="false" customHeight="true" outlineLevel="0" collapsed="false">
      <c r="A44" s="2" t="s">
        <v>676</v>
      </c>
      <c r="B44" s="2"/>
      <c r="C44" s="2"/>
      <c r="D44" s="2"/>
      <c r="E44" s="2"/>
      <c r="F44" s="2"/>
      <c r="G44" s="2"/>
    </row>
    <row r="45" customFormat="false" ht="15.75" hidden="false" customHeight="true" outlineLevel="0" collapsed="false">
      <c r="A45" s="2" t="s">
        <v>677</v>
      </c>
      <c r="B45" s="2"/>
      <c r="C45" s="2"/>
      <c r="D45" s="2"/>
      <c r="E45" s="2"/>
      <c r="F45" s="2"/>
      <c r="G45" s="2"/>
    </row>
    <row r="46" customFormat="false" ht="15.75" hidden="false" customHeight="true" outlineLevel="0" collapsed="false">
      <c r="A46" s="2" t="s">
        <v>678</v>
      </c>
      <c r="B46" s="2"/>
      <c r="C46" s="2"/>
      <c r="D46" s="2"/>
      <c r="E46" s="2"/>
      <c r="F46" s="2"/>
      <c r="G46" s="2"/>
    </row>
    <row r="47" customFormat="false" ht="15.75" hidden="false" customHeight="true" outlineLevel="0" collapsed="false">
      <c r="A47" s="2" t="s">
        <v>679</v>
      </c>
      <c r="B47" s="2"/>
      <c r="C47" s="2"/>
      <c r="D47" s="2"/>
      <c r="E47" s="2"/>
      <c r="F47" s="2"/>
      <c r="G47" s="2"/>
    </row>
  </sheetData>
  <mergeCells count="6">
    <mergeCell ref="B3:G3"/>
    <mergeCell ref="B4:G4"/>
    <mergeCell ref="A44:G44"/>
    <mergeCell ref="A45:G45"/>
    <mergeCell ref="A46:G46"/>
    <mergeCell ref="A47:G47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30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29</v>
      </c>
    </row>
    <row r="3" customFormat="false" ht="15.75" hidden="false" customHeight="true" outlineLevel="0" collapsed="false">
      <c r="A3" s="36" t="s">
        <v>556</v>
      </c>
      <c r="B3" s="2" t="s">
        <v>680</v>
      </c>
      <c r="C3" s="2"/>
      <c r="D3" s="2"/>
      <c r="E3" s="2"/>
      <c r="F3" s="2"/>
      <c r="G3" s="2"/>
    </row>
    <row r="4" customFormat="false" ht="42" hidden="false" customHeight="true" outlineLevel="0" collapsed="false">
      <c r="A4" s="36" t="s">
        <v>558</v>
      </c>
      <c r="B4" s="2" t="s">
        <v>681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682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682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682</v>
      </c>
      <c r="G9" s="39" t="s">
        <v>3</v>
      </c>
    </row>
    <row r="10" customFormat="false" ht="15.75" hidden="false" customHeight="true" outlineLevel="0" collapsed="false">
      <c r="A10" s="37" t="s">
        <v>212</v>
      </c>
      <c r="B10" s="38" t="s">
        <v>567</v>
      </c>
      <c r="C10" s="39" t="s">
        <v>568</v>
      </c>
      <c r="D10" s="38" t="s">
        <v>573</v>
      </c>
      <c r="E10" s="38" t="s">
        <v>683</v>
      </c>
      <c r="F10" s="38" t="s">
        <v>653</v>
      </c>
      <c r="G10" s="39" t="s">
        <v>3</v>
      </c>
    </row>
    <row r="11" customFormat="false" ht="28.5" hidden="false" customHeight="true" outlineLevel="0" collapsed="false">
      <c r="A11" s="37" t="s">
        <v>684</v>
      </c>
      <c r="B11" s="38" t="s">
        <v>579</v>
      </c>
      <c r="C11" s="39" t="s">
        <v>585</v>
      </c>
      <c r="D11" s="38" t="s">
        <v>581</v>
      </c>
      <c r="E11" s="38" t="s">
        <v>685</v>
      </c>
      <c r="F11" s="38" t="s">
        <v>686</v>
      </c>
      <c r="G11" s="39" t="s">
        <v>3</v>
      </c>
    </row>
    <row r="12" customFormat="false" ht="15.75" hidden="false" customHeight="true" outlineLevel="0" collapsed="false">
      <c r="A12" s="37" t="s">
        <v>687</v>
      </c>
      <c r="B12" s="38" t="s">
        <v>182</v>
      </c>
      <c r="C12" s="39" t="s">
        <v>568</v>
      </c>
      <c r="D12" s="38" t="s">
        <v>581</v>
      </c>
      <c r="E12" s="38" t="s">
        <v>688</v>
      </c>
      <c r="F12" s="38" t="s">
        <v>653</v>
      </c>
      <c r="G12" s="39" t="s">
        <v>3</v>
      </c>
    </row>
    <row r="13" customFormat="false" ht="15.75" hidden="false" customHeight="true" outlineLevel="0" collapsed="false">
      <c r="A13" s="37" t="s">
        <v>689</v>
      </c>
      <c r="B13" s="38" t="s">
        <v>567</v>
      </c>
      <c r="C13" s="39" t="s">
        <v>568</v>
      </c>
      <c r="D13" s="38" t="s">
        <v>599</v>
      </c>
      <c r="E13" s="38" t="s">
        <v>690</v>
      </c>
      <c r="F13" s="38" t="s">
        <v>653</v>
      </c>
      <c r="G13" s="39" t="s">
        <v>3</v>
      </c>
    </row>
    <row r="14" customFormat="false" ht="15.75" hidden="false" customHeight="true" outlineLevel="0" collapsed="false">
      <c r="A14" s="37" t="s">
        <v>691</v>
      </c>
      <c r="B14" s="38" t="s">
        <v>567</v>
      </c>
      <c r="C14" s="39" t="s">
        <v>568</v>
      </c>
      <c r="D14" s="38" t="s">
        <v>599</v>
      </c>
      <c r="E14" s="38" t="s">
        <v>692</v>
      </c>
      <c r="F14" s="38" t="s">
        <v>653</v>
      </c>
      <c r="G14" s="39" t="s">
        <v>3</v>
      </c>
    </row>
    <row r="15" customFormat="false" ht="15.75" hidden="false" customHeight="true" outlineLevel="0" collapsed="false">
      <c r="A15" s="40" t="s">
        <v>693</v>
      </c>
      <c r="B15" s="41" t="s">
        <v>567</v>
      </c>
      <c r="C15" s="42" t="s">
        <v>568</v>
      </c>
      <c r="D15" s="41" t="s">
        <v>599</v>
      </c>
      <c r="E15" s="41" t="s">
        <v>694</v>
      </c>
      <c r="F15" s="41" t="s">
        <v>238</v>
      </c>
      <c r="G15" s="42" t="s">
        <v>5</v>
      </c>
    </row>
    <row r="16" customFormat="false" ht="15.75" hidden="false" customHeight="true" outlineLevel="0" collapsed="false">
      <c r="A16" s="37" t="s">
        <v>695</v>
      </c>
      <c r="B16" s="38" t="s">
        <v>567</v>
      </c>
      <c r="C16" s="39" t="s">
        <v>568</v>
      </c>
      <c r="D16" s="38" t="s">
        <v>599</v>
      </c>
      <c r="E16" s="38" t="s">
        <v>696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697</v>
      </c>
      <c r="B17" s="38" t="s">
        <v>614</v>
      </c>
      <c r="C17" s="39" t="s">
        <v>615</v>
      </c>
      <c r="D17" s="38" t="s">
        <v>581</v>
      </c>
      <c r="E17" s="38" t="s">
        <v>698</v>
      </c>
      <c r="F17" s="38" t="s">
        <v>653</v>
      </c>
      <c r="G17" s="39" t="s">
        <v>3</v>
      </c>
    </row>
    <row r="18" customFormat="false" ht="15.75" hidden="false" customHeight="true" outlineLevel="0" collapsed="false">
      <c r="A18" s="37" t="s">
        <v>699</v>
      </c>
      <c r="B18" s="38" t="s">
        <v>579</v>
      </c>
      <c r="C18" s="39" t="s">
        <v>611</v>
      </c>
      <c r="D18" s="38" t="s">
        <v>581</v>
      </c>
      <c r="E18" s="38" t="s">
        <v>700</v>
      </c>
      <c r="F18" s="38" t="s">
        <v>653</v>
      </c>
      <c r="G18" s="39" t="s">
        <v>3</v>
      </c>
    </row>
    <row r="19" customFormat="false" ht="15.75" hidden="false" customHeight="true" outlineLevel="0" collapsed="false">
      <c r="A19" s="37" t="s">
        <v>620</v>
      </c>
      <c r="B19" s="38" t="s">
        <v>614</v>
      </c>
      <c r="C19" s="39" t="s">
        <v>621</v>
      </c>
      <c r="D19" s="38" t="s">
        <v>596</v>
      </c>
      <c r="E19" s="38" t="s">
        <v>701</v>
      </c>
      <c r="F19" s="38" t="s">
        <v>653</v>
      </c>
      <c r="G19" s="39" t="s">
        <v>3</v>
      </c>
    </row>
    <row r="20" customFormat="false" ht="15.75" hidden="false" customHeight="true" outlineLevel="0" collapsed="false">
      <c r="A20" s="37" t="s">
        <v>702</v>
      </c>
      <c r="B20" s="38" t="s">
        <v>614</v>
      </c>
      <c r="C20" s="39" t="s">
        <v>615</v>
      </c>
      <c r="D20" s="38" t="s">
        <v>581</v>
      </c>
      <c r="E20" s="38" t="s">
        <v>703</v>
      </c>
      <c r="F20" s="38" t="s">
        <v>653</v>
      </c>
      <c r="G20" s="39" t="s">
        <v>3</v>
      </c>
    </row>
    <row r="21" customFormat="false" ht="15.75" hidden="false" customHeight="true" outlineLevel="0" collapsed="false">
      <c r="A21" s="37" t="s">
        <v>670</v>
      </c>
      <c r="B21" s="38" t="s">
        <v>579</v>
      </c>
      <c r="C21" s="39" t="s">
        <v>671</v>
      </c>
      <c r="D21" s="38" t="s">
        <v>596</v>
      </c>
      <c r="E21" s="38" t="s">
        <v>672</v>
      </c>
      <c r="F21" s="38" t="s">
        <v>682</v>
      </c>
      <c r="G21" s="39" t="s">
        <v>3</v>
      </c>
    </row>
    <row r="22" customFormat="false" ht="28.5" hidden="false" customHeight="true" outlineLevel="0" collapsed="false">
      <c r="A22" s="11" t="s">
        <v>673</v>
      </c>
      <c r="B22" s="11"/>
      <c r="C22" s="9"/>
      <c r="D22" s="11"/>
      <c r="E22" s="11" t="s">
        <v>674</v>
      </c>
      <c r="F22" s="11"/>
      <c r="G22" s="9"/>
    </row>
    <row r="24" customFormat="false" ht="15" hidden="false" customHeight="false" outlineLevel="0" collapsed="false">
      <c r="A24" s="3" t="s">
        <v>675</v>
      </c>
    </row>
    <row r="25" customFormat="false" ht="15.75" hidden="false" customHeight="true" outlineLevel="0" collapsed="false">
      <c r="A25" s="2" t="s">
        <v>704</v>
      </c>
      <c r="B25" s="2"/>
      <c r="C25" s="2"/>
      <c r="D25" s="2"/>
      <c r="E25" s="2"/>
      <c r="F25" s="2"/>
      <c r="G25" s="2"/>
    </row>
    <row r="26" customFormat="false" ht="15.75" hidden="false" customHeight="true" outlineLevel="0" collapsed="false">
      <c r="A26" s="2" t="s">
        <v>705</v>
      </c>
      <c r="B26" s="2"/>
      <c r="C26" s="2"/>
      <c r="D26" s="2"/>
      <c r="E26" s="2"/>
      <c r="F26" s="2"/>
      <c r="G26" s="2"/>
    </row>
    <row r="27" customFormat="false" ht="15.75" hidden="false" customHeight="true" outlineLevel="0" collapsed="false">
      <c r="A27" s="2" t="s">
        <v>706</v>
      </c>
      <c r="B27" s="2"/>
      <c r="C27" s="2"/>
      <c r="D27" s="2"/>
      <c r="E27" s="2"/>
      <c r="F27" s="2"/>
      <c r="G27" s="2"/>
    </row>
  </sheetData>
  <mergeCells count="5">
    <mergeCell ref="B3:G3"/>
    <mergeCell ref="B4:G4"/>
    <mergeCell ref="A25:G25"/>
    <mergeCell ref="A26:G26"/>
    <mergeCell ref="A27:G27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27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32</v>
      </c>
    </row>
    <row r="3" customFormat="false" ht="15.75" hidden="false" customHeight="true" outlineLevel="0" collapsed="false">
      <c r="A3" s="36" t="s">
        <v>556</v>
      </c>
      <c r="B3" s="2" t="s">
        <v>707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708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12" t="s">
        <v>566</v>
      </c>
      <c r="B7" s="11" t="s">
        <v>567</v>
      </c>
      <c r="C7" s="9" t="s">
        <v>568</v>
      </c>
      <c r="D7" s="11" t="s">
        <v>569</v>
      </c>
      <c r="E7" s="11" t="s">
        <v>570</v>
      </c>
      <c r="F7" s="11" t="s">
        <v>571</v>
      </c>
      <c r="G7" s="9" t="s">
        <v>7</v>
      </c>
    </row>
    <row r="8" customFormat="false" ht="15.75" hidden="false" customHeight="true" outlineLevel="0" collapsed="false">
      <c r="A8" s="12" t="s">
        <v>572</v>
      </c>
      <c r="B8" s="11" t="s">
        <v>567</v>
      </c>
      <c r="C8" s="9" t="s">
        <v>568</v>
      </c>
      <c r="D8" s="11" t="s">
        <v>573</v>
      </c>
      <c r="E8" s="11" t="s">
        <v>574</v>
      </c>
      <c r="F8" s="11" t="s">
        <v>571</v>
      </c>
      <c r="G8" s="9" t="s">
        <v>7</v>
      </c>
    </row>
    <row r="9" customFormat="false" ht="15.75" hidden="false" customHeight="true" outlineLevel="0" collapsed="false">
      <c r="A9" s="12" t="s">
        <v>576</v>
      </c>
      <c r="B9" s="11" t="s">
        <v>567</v>
      </c>
      <c r="C9" s="9" t="s">
        <v>568</v>
      </c>
      <c r="D9" s="11" t="s">
        <v>573</v>
      </c>
      <c r="E9" s="11" t="s">
        <v>577</v>
      </c>
      <c r="F9" s="11" t="s">
        <v>571</v>
      </c>
      <c r="G9" s="9" t="s">
        <v>7</v>
      </c>
    </row>
    <row r="10" customFormat="false" ht="15.75" hidden="false" customHeight="true" outlineLevel="0" collapsed="false">
      <c r="A10" s="40" t="s">
        <v>179</v>
      </c>
      <c r="B10" s="41" t="s">
        <v>567</v>
      </c>
      <c r="C10" s="42" t="s">
        <v>568</v>
      </c>
      <c r="D10" s="41" t="s">
        <v>599</v>
      </c>
      <c r="E10" s="41" t="s">
        <v>709</v>
      </c>
      <c r="F10" s="41" t="s">
        <v>571</v>
      </c>
      <c r="G10" s="42" t="s">
        <v>5</v>
      </c>
    </row>
    <row r="11" customFormat="false" ht="28.5" hidden="false" customHeight="true" outlineLevel="0" collapsed="false">
      <c r="A11" s="37" t="s">
        <v>710</v>
      </c>
      <c r="B11" s="38" t="s">
        <v>579</v>
      </c>
      <c r="C11" s="39" t="s">
        <v>668</v>
      </c>
      <c r="D11" s="38" t="s">
        <v>581</v>
      </c>
      <c r="E11" s="38" t="s">
        <v>711</v>
      </c>
      <c r="F11" s="38" t="s">
        <v>712</v>
      </c>
      <c r="G11" s="39" t="s">
        <v>3</v>
      </c>
    </row>
    <row r="12" customFormat="false" ht="15.75" hidden="false" customHeight="true" outlineLevel="0" collapsed="false">
      <c r="A12" s="37" t="s">
        <v>713</v>
      </c>
      <c r="B12" s="38" t="s">
        <v>579</v>
      </c>
      <c r="C12" s="39" t="s">
        <v>592</v>
      </c>
      <c r="D12" s="38" t="s">
        <v>581</v>
      </c>
      <c r="E12" s="38" t="s">
        <v>714</v>
      </c>
      <c r="F12" s="38" t="s">
        <v>715</v>
      </c>
      <c r="G12" s="39" t="s">
        <v>3</v>
      </c>
    </row>
    <row r="13" customFormat="false" ht="15.75" hidden="false" customHeight="true" outlineLevel="0" collapsed="false">
      <c r="A13" s="37" t="s">
        <v>716</v>
      </c>
      <c r="B13" s="38" t="s">
        <v>579</v>
      </c>
      <c r="C13" s="39" t="s">
        <v>592</v>
      </c>
      <c r="D13" s="38" t="s">
        <v>581</v>
      </c>
      <c r="E13" s="38" t="s">
        <v>717</v>
      </c>
      <c r="F13" s="38" t="s">
        <v>718</v>
      </c>
      <c r="G13" s="39" t="s">
        <v>3</v>
      </c>
    </row>
    <row r="14" customFormat="false" ht="15.75" hidden="false" customHeight="true" outlineLevel="0" collapsed="false">
      <c r="A14" s="12" t="s">
        <v>152</v>
      </c>
      <c r="B14" s="11" t="s">
        <v>567</v>
      </c>
      <c r="C14" s="9" t="s">
        <v>568</v>
      </c>
      <c r="D14" s="11" t="s">
        <v>573</v>
      </c>
      <c r="E14" s="11" t="s">
        <v>719</v>
      </c>
      <c r="F14" s="11" t="s">
        <v>571</v>
      </c>
      <c r="G14" s="9" t="s">
        <v>7</v>
      </c>
    </row>
    <row r="15" customFormat="false" ht="15.75" hidden="false" customHeight="true" outlineLevel="0" collapsed="false">
      <c r="A15" s="37" t="s">
        <v>604</v>
      </c>
      <c r="B15" s="38" t="s">
        <v>567</v>
      </c>
      <c r="C15" s="39" t="s">
        <v>568</v>
      </c>
      <c r="D15" s="38" t="s">
        <v>599</v>
      </c>
      <c r="E15" s="38" t="s">
        <v>720</v>
      </c>
      <c r="F15" s="38" t="s">
        <v>721</v>
      </c>
      <c r="G15" s="39" t="s">
        <v>3</v>
      </c>
    </row>
    <row r="16" customFormat="false" ht="28.5" hidden="false" customHeight="true" outlineLevel="0" collapsed="false">
      <c r="A16" s="40" t="s">
        <v>188</v>
      </c>
      <c r="B16" s="41" t="s">
        <v>579</v>
      </c>
      <c r="C16" s="42" t="s">
        <v>722</v>
      </c>
      <c r="D16" s="41" t="s">
        <v>723</v>
      </c>
      <c r="E16" s="41" t="s">
        <v>724</v>
      </c>
      <c r="F16" s="41" t="s">
        <v>571</v>
      </c>
      <c r="G16" s="42" t="s">
        <v>5</v>
      </c>
    </row>
    <row r="17" customFormat="false" ht="28.5" hidden="false" customHeight="true" outlineLevel="0" collapsed="false">
      <c r="A17" s="40" t="s">
        <v>725</v>
      </c>
      <c r="B17" s="41" t="s">
        <v>182</v>
      </c>
      <c r="C17" s="42" t="s">
        <v>568</v>
      </c>
      <c r="D17" s="41" t="s">
        <v>581</v>
      </c>
      <c r="E17" s="41" t="s">
        <v>726</v>
      </c>
      <c r="F17" s="41" t="s">
        <v>571</v>
      </c>
      <c r="G17" s="42" t="s">
        <v>5</v>
      </c>
    </row>
    <row r="18" customFormat="false" ht="28.5" hidden="false" customHeight="true" outlineLevel="0" collapsed="false">
      <c r="A18" s="40" t="s">
        <v>185</v>
      </c>
      <c r="B18" s="41" t="s">
        <v>614</v>
      </c>
      <c r="C18" s="42" t="s">
        <v>625</v>
      </c>
      <c r="D18" s="41" t="s">
        <v>581</v>
      </c>
      <c r="E18" s="41" t="s">
        <v>727</v>
      </c>
      <c r="F18" s="41" t="s">
        <v>728</v>
      </c>
      <c r="G18" s="42" t="s">
        <v>5</v>
      </c>
    </row>
    <row r="19" customFormat="false" ht="15.75" hidden="false" customHeight="true" outlineLevel="0" collapsed="false">
      <c r="A19" s="37" t="s">
        <v>729</v>
      </c>
      <c r="B19" s="38" t="s">
        <v>567</v>
      </c>
      <c r="C19" s="39" t="s">
        <v>568</v>
      </c>
      <c r="D19" s="38" t="s">
        <v>596</v>
      </c>
      <c r="E19" s="38" t="s">
        <v>730</v>
      </c>
      <c r="F19" s="38" t="s">
        <v>731</v>
      </c>
      <c r="G19" s="39" t="s">
        <v>3</v>
      </c>
    </row>
    <row r="20" customFormat="false" ht="15.75" hidden="false" customHeight="true" outlineLevel="0" collapsed="false">
      <c r="A20" s="37" t="s">
        <v>732</v>
      </c>
      <c r="B20" s="38" t="s">
        <v>579</v>
      </c>
      <c r="C20" s="39" t="s">
        <v>733</v>
      </c>
      <c r="D20" s="38" t="s">
        <v>596</v>
      </c>
      <c r="E20" s="38" t="s">
        <v>734</v>
      </c>
      <c r="F20" s="38" t="s">
        <v>731</v>
      </c>
      <c r="G20" s="39" t="s">
        <v>3</v>
      </c>
    </row>
    <row r="21" customFormat="false" ht="15.75" hidden="false" customHeight="true" outlineLevel="0" collapsed="false">
      <c r="A21" s="37" t="s">
        <v>735</v>
      </c>
      <c r="B21" s="38" t="s">
        <v>579</v>
      </c>
      <c r="C21" s="39" t="s">
        <v>592</v>
      </c>
      <c r="D21" s="38" t="s">
        <v>581</v>
      </c>
      <c r="E21" s="38" t="s">
        <v>736</v>
      </c>
      <c r="F21" s="38" t="s">
        <v>737</v>
      </c>
      <c r="G21" s="39" t="s">
        <v>3</v>
      </c>
    </row>
    <row r="22" customFormat="false" ht="15.75" hidden="false" customHeight="true" outlineLevel="0" collapsed="false">
      <c r="A22" s="37" t="s">
        <v>738</v>
      </c>
      <c r="B22" s="38" t="s">
        <v>567</v>
      </c>
      <c r="C22" s="39" t="s">
        <v>568</v>
      </c>
      <c r="D22" s="38" t="s">
        <v>581</v>
      </c>
      <c r="E22" s="38" t="s">
        <v>739</v>
      </c>
      <c r="F22" s="38" t="s">
        <v>740</v>
      </c>
      <c r="G22" s="39" t="s">
        <v>3</v>
      </c>
    </row>
    <row r="23" customFormat="false" ht="15.75" hidden="false" customHeight="true" outlineLevel="0" collapsed="false">
      <c r="A23" s="37" t="s">
        <v>741</v>
      </c>
      <c r="B23" s="38" t="s">
        <v>614</v>
      </c>
      <c r="C23" s="39" t="s">
        <v>640</v>
      </c>
      <c r="D23" s="38" t="s">
        <v>596</v>
      </c>
      <c r="E23" s="38" t="s">
        <v>742</v>
      </c>
      <c r="F23" s="38" t="s">
        <v>743</v>
      </c>
      <c r="G23" s="39" t="s">
        <v>3</v>
      </c>
    </row>
    <row r="24" customFormat="false" ht="15.75" hidden="false" customHeight="true" outlineLevel="0" collapsed="false">
      <c r="A24" s="37" t="s">
        <v>744</v>
      </c>
      <c r="B24" s="38" t="s">
        <v>579</v>
      </c>
      <c r="C24" s="39" t="s">
        <v>745</v>
      </c>
      <c r="D24" s="38" t="s">
        <v>596</v>
      </c>
      <c r="E24" s="38" t="s">
        <v>746</v>
      </c>
      <c r="F24" s="38" t="s">
        <v>747</v>
      </c>
      <c r="G24" s="39" t="s">
        <v>3</v>
      </c>
    </row>
    <row r="25" customFormat="false" ht="15.75" hidden="false" customHeight="true" outlineLevel="0" collapsed="false">
      <c r="A25" s="37" t="s">
        <v>748</v>
      </c>
      <c r="B25" s="38" t="s">
        <v>614</v>
      </c>
      <c r="C25" s="39" t="s">
        <v>749</v>
      </c>
      <c r="D25" s="38" t="s">
        <v>596</v>
      </c>
      <c r="E25" s="38" t="s">
        <v>750</v>
      </c>
      <c r="F25" s="38" t="s">
        <v>747</v>
      </c>
      <c r="G25" s="39" t="s">
        <v>3</v>
      </c>
    </row>
    <row r="26" customFormat="false" ht="15.75" hidden="false" customHeight="true" outlineLevel="0" collapsed="false">
      <c r="A26" s="37" t="s">
        <v>751</v>
      </c>
      <c r="B26" s="38" t="s">
        <v>579</v>
      </c>
      <c r="C26" s="39" t="s">
        <v>671</v>
      </c>
      <c r="D26" s="38" t="s">
        <v>596</v>
      </c>
      <c r="E26" s="38" t="s">
        <v>752</v>
      </c>
      <c r="F26" s="38" t="s">
        <v>369</v>
      </c>
      <c r="G26" s="39" t="s">
        <v>3</v>
      </c>
    </row>
    <row r="27" customFormat="false" ht="28.5" hidden="false" customHeight="true" outlineLevel="0" collapsed="false">
      <c r="A27" s="40" t="s">
        <v>753</v>
      </c>
      <c r="B27" s="41" t="s">
        <v>614</v>
      </c>
      <c r="C27" s="42" t="s">
        <v>754</v>
      </c>
      <c r="D27" s="41" t="s">
        <v>596</v>
      </c>
      <c r="E27" s="41" t="s">
        <v>755</v>
      </c>
      <c r="F27" s="41" t="s">
        <v>571</v>
      </c>
      <c r="G27" s="42" t="s">
        <v>5</v>
      </c>
    </row>
    <row r="28" customFormat="false" ht="15.75" hidden="false" customHeight="true" outlineLevel="0" collapsed="false">
      <c r="A28" s="40" t="s">
        <v>756</v>
      </c>
      <c r="B28" s="41" t="s">
        <v>614</v>
      </c>
      <c r="C28" s="42" t="s">
        <v>754</v>
      </c>
      <c r="D28" s="41" t="s">
        <v>596</v>
      </c>
      <c r="E28" s="41" t="s">
        <v>757</v>
      </c>
      <c r="F28" s="41" t="s">
        <v>571</v>
      </c>
      <c r="G28" s="42" t="s">
        <v>5</v>
      </c>
    </row>
    <row r="29" customFormat="false" ht="15.75" hidden="false" customHeight="true" outlineLevel="0" collapsed="false">
      <c r="A29" s="40" t="s">
        <v>758</v>
      </c>
      <c r="B29" s="41" t="s">
        <v>614</v>
      </c>
      <c r="C29" s="42" t="s">
        <v>615</v>
      </c>
      <c r="D29" s="41" t="s">
        <v>581</v>
      </c>
      <c r="E29" s="41" t="s">
        <v>759</v>
      </c>
      <c r="F29" s="41" t="s">
        <v>377</v>
      </c>
      <c r="G29" s="42" t="s">
        <v>5</v>
      </c>
    </row>
    <row r="30" customFormat="false" ht="15.75" hidden="false" customHeight="true" outlineLevel="0" collapsed="false">
      <c r="A30" s="40" t="s">
        <v>760</v>
      </c>
      <c r="B30" s="41" t="s">
        <v>614</v>
      </c>
      <c r="C30" s="42" t="s">
        <v>761</v>
      </c>
      <c r="D30" s="41" t="s">
        <v>581</v>
      </c>
      <c r="E30" s="41" t="s">
        <v>762</v>
      </c>
      <c r="F30" s="41" t="s">
        <v>571</v>
      </c>
      <c r="G30" s="42" t="s">
        <v>5</v>
      </c>
    </row>
    <row r="31" customFormat="false" ht="15.75" hidden="false" customHeight="true" outlineLevel="0" collapsed="false">
      <c r="A31" s="40" t="s">
        <v>763</v>
      </c>
      <c r="B31" s="41" t="s">
        <v>614</v>
      </c>
      <c r="C31" s="42" t="s">
        <v>661</v>
      </c>
      <c r="D31" s="41" t="s">
        <v>581</v>
      </c>
      <c r="E31" s="41" t="s">
        <v>764</v>
      </c>
      <c r="F31" s="41" t="s">
        <v>571</v>
      </c>
      <c r="G31" s="42" t="s">
        <v>5</v>
      </c>
    </row>
    <row r="32" customFormat="false" ht="28.5" hidden="false" customHeight="true" outlineLevel="0" collapsed="false">
      <c r="A32" s="40" t="s">
        <v>765</v>
      </c>
      <c r="B32" s="41" t="s">
        <v>614</v>
      </c>
      <c r="C32" s="42" t="s">
        <v>766</v>
      </c>
      <c r="D32" s="41" t="s">
        <v>581</v>
      </c>
      <c r="E32" s="41" t="s">
        <v>767</v>
      </c>
      <c r="F32" s="41" t="s">
        <v>328</v>
      </c>
      <c r="G32" s="42" t="s">
        <v>5</v>
      </c>
    </row>
    <row r="33" customFormat="false" ht="28.5" hidden="false" customHeight="true" outlineLevel="0" collapsed="false">
      <c r="A33" s="37" t="s">
        <v>768</v>
      </c>
      <c r="B33" s="38" t="s">
        <v>614</v>
      </c>
      <c r="C33" s="39" t="s">
        <v>769</v>
      </c>
      <c r="D33" s="38" t="s">
        <v>596</v>
      </c>
      <c r="E33" s="38" t="s">
        <v>770</v>
      </c>
      <c r="F33" s="38" t="s">
        <v>771</v>
      </c>
      <c r="G33" s="39" t="s">
        <v>3</v>
      </c>
    </row>
    <row r="34" customFormat="false" ht="15.75" hidden="false" customHeight="true" outlineLevel="0" collapsed="false">
      <c r="A34" s="37" t="s">
        <v>772</v>
      </c>
      <c r="B34" s="38" t="s">
        <v>614</v>
      </c>
      <c r="C34" s="39" t="s">
        <v>769</v>
      </c>
      <c r="D34" s="38" t="s">
        <v>596</v>
      </c>
      <c r="E34" s="38" t="s">
        <v>773</v>
      </c>
      <c r="F34" s="38" t="s">
        <v>774</v>
      </c>
      <c r="G34" s="39" t="s">
        <v>3</v>
      </c>
    </row>
    <row r="35" customFormat="false" ht="15.75" hidden="false" customHeight="true" outlineLevel="0" collapsed="false">
      <c r="A35" s="40" t="s">
        <v>194</v>
      </c>
      <c r="B35" s="41" t="s">
        <v>614</v>
      </c>
      <c r="C35" s="42" t="s">
        <v>775</v>
      </c>
      <c r="D35" s="41" t="s">
        <v>596</v>
      </c>
      <c r="E35" s="41" t="s">
        <v>776</v>
      </c>
      <c r="F35" s="41" t="s">
        <v>571</v>
      </c>
      <c r="G35" s="42" t="s">
        <v>5</v>
      </c>
    </row>
    <row r="36" customFormat="false" ht="28.5" hidden="false" customHeight="true" outlineLevel="0" collapsed="false">
      <c r="A36" s="37" t="s">
        <v>777</v>
      </c>
      <c r="B36" s="38" t="s">
        <v>614</v>
      </c>
      <c r="C36" s="39" t="s">
        <v>778</v>
      </c>
      <c r="D36" s="38" t="s">
        <v>596</v>
      </c>
      <c r="E36" s="38" t="s">
        <v>779</v>
      </c>
      <c r="F36" s="38" t="s">
        <v>623</v>
      </c>
      <c r="G36" s="39" t="s">
        <v>3</v>
      </c>
    </row>
    <row r="37" customFormat="false" ht="15.75" hidden="false" customHeight="true" outlineLevel="0" collapsed="false">
      <c r="A37" s="37" t="s">
        <v>780</v>
      </c>
      <c r="B37" s="38" t="s">
        <v>614</v>
      </c>
      <c r="C37" s="39" t="s">
        <v>778</v>
      </c>
      <c r="D37" s="38" t="s">
        <v>596</v>
      </c>
      <c r="E37" s="38" t="s">
        <v>781</v>
      </c>
      <c r="F37" s="38" t="s">
        <v>623</v>
      </c>
      <c r="G37" s="39" t="s">
        <v>3</v>
      </c>
    </row>
    <row r="38" customFormat="false" ht="15.75" hidden="false" customHeight="true" outlineLevel="0" collapsed="false">
      <c r="A38" s="37" t="s">
        <v>782</v>
      </c>
      <c r="B38" s="38" t="s">
        <v>614</v>
      </c>
      <c r="C38" s="39" t="s">
        <v>631</v>
      </c>
      <c r="D38" s="38" t="s">
        <v>596</v>
      </c>
      <c r="E38" s="38" t="s">
        <v>783</v>
      </c>
      <c r="F38" s="38" t="s">
        <v>784</v>
      </c>
      <c r="G38" s="39" t="s">
        <v>3</v>
      </c>
    </row>
    <row r="39" customFormat="false" ht="15.75" hidden="false" customHeight="true" outlineLevel="0" collapsed="false">
      <c r="A39" s="37" t="s">
        <v>785</v>
      </c>
      <c r="B39" s="38" t="s">
        <v>614</v>
      </c>
      <c r="C39" s="39" t="s">
        <v>778</v>
      </c>
      <c r="D39" s="38" t="s">
        <v>596</v>
      </c>
      <c r="E39" s="38" t="s">
        <v>786</v>
      </c>
      <c r="F39" s="38" t="s">
        <v>787</v>
      </c>
      <c r="G39" s="39" t="s">
        <v>3</v>
      </c>
    </row>
    <row r="40" customFormat="false" ht="15.75" hidden="false" customHeight="true" outlineLevel="0" collapsed="false">
      <c r="A40" s="37" t="s">
        <v>788</v>
      </c>
      <c r="B40" s="38" t="s">
        <v>614</v>
      </c>
      <c r="C40" s="39" t="s">
        <v>775</v>
      </c>
      <c r="D40" s="38" t="s">
        <v>596</v>
      </c>
      <c r="E40" s="38" t="s">
        <v>789</v>
      </c>
      <c r="F40" s="38" t="s">
        <v>790</v>
      </c>
      <c r="G40" s="39" t="s">
        <v>3</v>
      </c>
    </row>
    <row r="41" customFormat="false" ht="28.5" hidden="false" customHeight="true" outlineLevel="0" collapsed="false">
      <c r="A41" s="37" t="s">
        <v>791</v>
      </c>
      <c r="B41" s="38" t="s">
        <v>614</v>
      </c>
      <c r="C41" s="39" t="s">
        <v>769</v>
      </c>
      <c r="D41" s="38" t="s">
        <v>596</v>
      </c>
      <c r="E41" s="38" t="s">
        <v>792</v>
      </c>
      <c r="F41" s="38" t="s">
        <v>793</v>
      </c>
      <c r="G41" s="39" t="s">
        <v>3</v>
      </c>
    </row>
    <row r="42" customFormat="false" ht="15.75" hidden="false" customHeight="true" outlineLevel="0" collapsed="false">
      <c r="A42" s="37" t="s">
        <v>794</v>
      </c>
      <c r="B42" s="38" t="s">
        <v>614</v>
      </c>
      <c r="C42" s="39" t="s">
        <v>615</v>
      </c>
      <c r="D42" s="38" t="s">
        <v>596</v>
      </c>
      <c r="E42" s="38" t="s">
        <v>795</v>
      </c>
      <c r="F42" s="38" t="s">
        <v>796</v>
      </c>
      <c r="G42" s="39" t="s">
        <v>3</v>
      </c>
    </row>
    <row r="43" customFormat="false" ht="15.75" hidden="false" customHeight="true" outlineLevel="0" collapsed="false">
      <c r="A43" s="37" t="s">
        <v>797</v>
      </c>
      <c r="B43" s="38" t="s">
        <v>614</v>
      </c>
      <c r="C43" s="39" t="s">
        <v>615</v>
      </c>
      <c r="D43" s="38" t="s">
        <v>596</v>
      </c>
      <c r="E43" s="38" t="s">
        <v>798</v>
      </c>
      <c r="F43" s="38" t="s">
        <v>799</v>
      </c>
      <c r="G43" s="39" t="s">
        <v>3</v>
      </c>
    </row>
    <row r="44" customFormat="false" ht="15.75" hidden="false" customHeight="true" outlineLevel="0" collapsed="false">
      <c r="A44" s="12" t="s">
        <v>670</v>
      </c>
      <c r="B44" s="11" t="s">
        <v>579</v>
      </c>
      <c r="C44" s="9" t="s">
        <v>671</v>
      </c>
      <c r="D44" s="11" t="s">
        <v>596</v>
      </c>
      <c r="E44" s="11" t="s">
        <v>672</v>
      </c>
      <c r="F44" s="11" t="s">
        <v>571</v>
      </c>
      <c r="G44" s="9" t="s">
        <v>7</v>
      </c>
    </row>
    <row r="45" customFormat="false" ht="28.5" hidden="false" customHeight="true" outlineLevel="0" collapsed="false">
      <c r="A45" s="11" t="s">
        <v>673</v>
      </c>
      <c r="B45" s="11"/>
      <c r="C45" s="9"/>
      <c r="D45" s="11"/>
      <c r="E45" s="11" t="s">
        <v>674</v>
      </c>
      <c r="F45" s="11"/>
      <c r="G45" s="9"/>
    </row>
    <row r="47" customFormat="false" ht="15" hidden="false" customHeight="false" outlineLevel="0" collapsed="false">
      <c r="A47" s="3" t="s">
        <v>675</v>
      </c>
    </row>
    <row r="48" customFormat="false" ht="15.75" hidden="false" customHeight="true" outlineLevel="0" collapsed="false">
      <c r="A48" s="2" t="s">
        <v>800</v>
      </c>
      <c r="B48" s="2"/>
      <c r="C48" s="2"/>
      <c r="D48" s="2"/>
      <c r="E48" s="2"/>
      <c r="F48" s="2"/>
      <c r="G48" s="2"/>
    </row>
    <row r="49" customFormat="false" ht="15.75" hidden="false" customHeight="true" outlineLevel="0" collapsed="false">
      <c r="A49" s="2" t="s">
        <v>801</v>
      </c>
      <c r="B49" s="2"/>
      <c r="C49" s="2"/>
      <c r="D49" s="2"/>
      <c r="E49" s="2"/>
      <c r="F49" s="2"/>
      <c r="G49" s="2"/>
    </row>
    <row r="50" customFormat="false" ht="15.75" hidden="false" customHeight="true" outlineLevel="0" collapsed="false">
      <c r="A50" s="2" t="s">
        <v>802</v>
      </c>
      <c r="B50" s="2"/>
      <c r="C50" s="2"/>
      <c r="D50" s="2"/>
      <c r="E50" s="2"/>
      <c r="F50" s="2"/>
      <c r="G50" s="2"/>
    </row>
  </sheetData>
  <mergeCells count="5">
    <mergeCell ref="B3:G3"/>
    <mergeCell ref="B4:G4"/>
    <mergeCell ref="A48:G48"/>
    <mergeCell ref="A49:G49"/>
    <mergeCell ref="A50:G50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35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34</v>
      </c>
    </row>
    <row r="3" customFormat="false" ht="15.75" hidden="false" customHeight="true" outlineLevel="0" collapsed="false">
      <c r="A3" s="36" t="s">
        <v>556</v>
      </c>
      <c r="B3" s="2" t="s">
        <v>803</v>
      </c>
      <c r="C3" s="2"/>
      <c r="D3" s="2"/>
      <c r="E3" s="2"/>
      <c r="F3" s="2"/>
      <c r="G3" s="2"/>
    </row>
    <row r="4" customFormat="false" ht="42" hidden="false" customHeight="true" outlineLevel="0" collapsed="false">
      <c r="A4" s="36" t="s">
        <v>558</v>
      </c>
      <c r="B4" s="2" t="s">
        <v>804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682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682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682</v>
      </c>
      <c r="G9" s="39" t="s">
        <v>3</v>
      </c>
    </row>
    <row r="10" customFormat="false" ht="28.5" hidden="false" customHeight="true" outlineLevel="0" collapsed="false">
      <c r="A10" s="37" t="s">
        <v>214</v>
      </c>
      <c r="B10" s="38" t="s">
        <v>567</v>
      </c>
      <c r="C10" s="39" t="s">
        <v>568</v>
      </c>
      <c r="D10" s="38" t="s">
        <v>573</v>
      </c>
      <c r="E10" s="38" t="s">
        <v>805</v>
      </c>
      <c r="F10" s="38" t="s">
        <v>806</v>
      </c>
      <c r="G10" s="39" t="s">
        <v>3</v>
      </c>
    </row>
    <row r="11" customFormat="false" ht="28.5" hidden="false" customHeight="true" outlineLevel="0" collapsed="false">
      <c r="A11" s="37" t="s">
        <v>807</v>
      </c>
      <c r="B11" s="38" t="s">
        <v>567</v>
      </c>
      <c r="C11" s="39" t="s">
        <v>568</v>
      </c>
      <c r="D11" s="38" t="s">
        <v>808</v>
      </c>
      <c r="E11" s="38" t="s">
        <v>809</v>
      </c>
      <c r="F11" s="38" t="s">
        <v>806</v>
      </c>
      <c r="G11" s="39" t="s">
        <v>3</v>
      </c>
    </row>
    <row r="12" customFormat="false" ht="15.75" hidden="false" customHeight="true" outlineLevel="0" collapsed="false">
      <c r="A12" s="37" t="s">
        <v>741</v>
      </c>
      <c r="B12" s="38" t="s">
        <v>614</v>
      </c>
      <c r="C12" s="39" t="s">
        <v>640</v>
      </c>
      <c r="D12" s="38" t="s">
        <v>596</v>
      </c>
      <c r="E12" s="38" t="s">
        <v>810</v>
      </c>
      <c r="F12" s="38" t="s">
        <v>743</v>
      </c>
      <c r="G12" s="39" t="s">
        <v>3</v>
      </c>
    </row>
    <row r="13" customFormat="false" ht="28.5" hidden="false" customHeight="true" outlineLevel="0" collapsed="false">
      <c r="A13" s="37" t="s">
        <v>811</v>
      </c>
      <c r="B13" s="38" t="s">
        <v>614</v>
      </c>
      <c r="C13" s="39" t="s">
        <v>661</v>
      </c>
      <c r="D13" s="38" t="s">
        <v>596</v>
      </c>
      <c r="E13" s="38" t="s">
        <v>812</v>
      </c>
      <c r="F13" s="38" t="s">
        <v>813</v>
      </c>
      <c r="G13" s="39" t="s">
        <v>3</v>
      </c>
    </row>
    <row r="14" customFormat="false" ht="28.5" hidden="false" customHeight="true" outlineLevel="0" collapsed="false">
      <c r="A14" s="37" t="s">
        <v>814</v>
      </c>
      <c r="B14" s="38" t="s">
        <v>614</v>
      </c>
      <c r="C14" s="39" t="s">
        <v>661</v>
      </c>
      <c r="D14" s="38" t="s">
        <v>596</v>
      </c>
      <c r="E14" s="38" t="s">
        <v>815</v>
      </c>
      <c r="F14" s="38" t="s">
        <v>813</v>
      </c>
      <c r="G14" s="39" t="s">
        <v>3</v>
      </c>
    </row>
    <row r="15" customFormat="false" ht="28.5" hidden="false" customHeight="true" outlineLevel="0" collapsed="false">
      <c r="A15" s="37" t="s">
        <v>816</v>
      </c>
      <c r="B15" s="38" t="s">
        <v>579</v>
      </c>
      <c r="C15" s="39" t="s">
        <v>817</v>
      </c>
      <c r="D15" s="38" t="s">
        <v>596</v>
      </c>
      <c r="E15" s="38" t="s">
        <v>818</v>
      </c>
      <c r="F15" s="38" t="s">
        <v>813</v>
      </c>
      <c r="G15" s="39" t="s">
        <v>3</v>
      </c>
    </row>
    <row r="16" customFormat="false" ht="28.5" hidden="false" customHeight="true" outlineLevel="0" collapsed="false">
      <c r="A16" s="37" t="s">
        <v>765</v>
      </c>
      <c r="B16" s="38" t="s">
        <v>567</v>
      </c>
      <c r="C16" s="39" t="s">
        <v>568</v>
      </c>
      <c r="D16" s="38" t="s">
        <v>581</v>
      </c>
      <c r="E16" s="38" t="s">
        <v>819</v>
      </c>
      <c r="F16" s="38" t="s">
        <v>806</v>
      </c>
      <c r="G16" s="39" t="s">
        <v>3</v>
      </c>
    </row>
    <row r="17" customFormat="false" ht="28.5" hidden="false" customHeight="true" outlineLevel="0" collapsed="false">
      <c r="A17" s="37" t="s">
        <v>768</v>
      </c>
      <c r="B17" s="38" t="s">
        <v>614</v>
      </c>
      <c r="C17" s="39" t="s">
        <v>769</v>
      </c>
      <c r="D17" s="38" t="s">
        <v>596</v>
      </c>
      <c r="E17" s="38" t="s">
        <v>820</v>
      </c>
      <c r="F17" s="38" t="s">
        <v>806</v>
      </c>
      <c r="G17" s="39" t="s">
        <v>3</v>
      </c>
    </row>
    <row r="18" customFormat="false" ht="28.5" hidden="false" customHeight="true" outlineLevel="0" collapsed="false">
      <c r="A18" s="37" t="s">
        <v>772</v>
      </c>
      <c r="B18" s="38" t="s">
        <v>614</v>
      </c>
      <c r="C18" s="39" t="s">
        <v>769</v>
      </c>
      <c r="D18" s="38" t="s">
        <v>596</v>
      </c>
      <c r="E18" s="38" t="s">
        <v>821</v>
      </c>
      <c r="F18" s="38" t="s">
        <v>806</v>
      </c>
      <c r="G18" s="39" t="s">
        <v>3</v>
      </c>
    </row>
    <row r="19" customFormat="false" ht="28.5" hidden="false" customHeight="true" outlineLevel="0" collapsed="false">
      <c r="A19" s="37" t="s">
        <v>822</v>
      </c>
      <c r="B19" s="38" t="s">
        <v>614</v>
      </c>
      <c r="C19" s="39" t="s">
        <v>823</v>
      </c>
      <c r="D19" s="38" t="s">
        <v>581</v>
      </c>
      <c r="E19" s="38" t="s">
        <v>824</v>
      </c>
      <c r="F19" s="38" t="s">
        <v>806</v>
      </c>
      <c r="G19" s="39" t="s">
        <v>3</v>
      </c>
    </row>
    <row r="20" customFormat="false" ht="15.75" hidden="false" customHeight="true" outlineLevel="0" collapsed="false">
      <c r="A20" s="37" t="s">
        <v>825</v>
      </c>
      <c r="B20" s="38" t="s">
        <v>614</v>
      </c>
      <c r="C20" s="39" t="s">
        <v>625</v>
      </c>
      <c r="D20" s="38" t="s">
        <v>596</v>
      </c>
      <c r="E20" s="38" t="s">
        <v>826</v>
      </c>
      <c r="F20" s="38" t="s">
        <v>827</v>
      </c>
      <c r="G20" s="39" t="s">
        <v>3</v>
      </c>
    </row>
    <row r="21" customFormat="false" ht="15.75" hidden="false" customHeight="true" outlineLevel="0" collapsed="false">
      <c r="A21" s="37" t="s">
        <v>670</v>
      </c>
      <c r="B21" s="38" t="s">
        <v>579</v>
      </c>
      <c r="C21" s="39" t="s">
        <v>671</v>
      </c>
      <c r="D21" s="38" t="s">
        <v>596</v>
      </c>
      <c r="E21" s="38" t="s">
        <v>672</v>
      </c>
      <c r="F21" s="38" t="s">
        <v>682</v>
      </c>
      <c r="G21" s="39" t="s">
        <v>3</v>
      </c>
    </row>
    <row r="22" customFormat="false" ht="28.5" hidden="false" customHeight="true" outlineLevel="0" collapsed="false">
      <c r="A22" s="11" t="s">
        <v>673</v>
      </c>
      <c r="B22" s="11"/>
      <c r="C22" s="9"/>
      <c r="D22" s="11"/>
      <c r="E22" s="11" t="s">
        <v>674</v>
      </c>
      <c r="F22" s="11"/>
      <c r="G22" s="9"/>
    </row>
    <row r="24" customFormat="false" ht="15" hidden="false" customHeight="false" outlineLevel="0" collapsed="false">
      <c r="A24" s="3" t="s">
        <v>675</v>
      </c>
    </row>
    <row r="25" customFormat="false" ht="15.75" hidden="false" customHeight="true" outlineLevel="0" collapsed="false">
      <c r="A25" s="2" t="s">
        <v>828</v>
      </c>
      <c r="B25" s="2"/>
      <c r="C25" s="2"/>
      <c r="D25" s="2"/>
      <c r="E25" s="2"/>
      <c r="F25" s="2"/>
      <c r="G25" s="2"/>
    </row>
  </sheetData>
  <mergeCells count="3">
    <mergeCell ref="B3:G3"/>
    <mergeCell ref="B4:G4"/>
    <mergeCell ref="A25:G25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30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37</v>
      </c>
    </row>
    <row r="3" customFormat="false" ht="15.75" hidden="false" customHeight="true" outlineLevel="0" collapsed="false">
      <c r="A3" s="36" t="s">
        <v>556</v>
      </c>
      <c r="B3" s="2" t="s">
        <v>829</v>
      </c>
      <c r="C3" s="2"/>
      <c r="D3" s="2"/>
      <c r="E3" s="2"/>
      <c r="F3" s="2"/>
      <c r="G3" s="2"/>
    </row>
    <row r="4" customFormat="false" ht="42" hidden="false" customHeight="true" outlineLevel="0" collapsed="false">
      <c r="A4" s="36" t="s">
        <v>558</v>
      </c>
      <c r="B4" s="2" t="s">
        <v>830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682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682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682</v>
      </c>
      <c r="G9" s="39" t="s">
        <v>3</v>
      </c>
    </row>
    <row r="10" customFormat="false" ht="15.75" hidden="false" customHeight="true" outlineLevel="0" collapsed="false">
      <c r="A10" s="37" t="s">
        <v>214</v>
      </c>
      <c r="B10" s="38" t="s">
        <v>567</v>
      </c>
      <c r="C10" s="39" t="s">
        <v>568</v>
      </c>
      <c r="D10" s="38" t="s">
        <v>573</v>
      </c>
      <c r="E10" s="38" t="s">
        <v>831</v>
      </c>
      <c r="F10" s="38" t="s">
        <v>832</v>
      </c>
      <c r="G10" s="39" t="s">
        <v>3</v>
      </c>
    </row>
    <row r="11" customFormat="false" ht="28.5" hidden="false" customHeight="true" outlineLevel="0" collapsed="false">
      <c r="A11" s="37" t="s">
        <v>833</v>
      </c>
      <c r="B11" s="38" t="s">
        <v>567</v>
      </c>
      <c r="C11" s="39" t="s">
        <v>568</v>
      </c>
      <c r="D11" s="38" t="s">
        <v>834</v>
      </c>
      <c r="E11" s="38" t="s">
        <v>835</v>
      </c>
      <c r="F11" s="38" t="s">
        <v>832</v>
      </c>
      <c r="G11" s="39" t="s">
        <v>3</v>
      </c>
    </row>
    <row r="12" customFormat="false" ht="15.75" hidden="false" customHeight="true" outlineLevel="0" collapsed="false">
      <c r="A12" s="37" t="s">
        <v>185</v>
      </c>
      <c r="B12" s="38" t="s">
        <v>614</v>
      </c>
      <c r="C12" s="39" t="s">
        <v>625</v>
      </c>
      <c r="D12" s="38" t="s">
        <v>581</v>
      </c>
      <c r="E12" s="38" t="s">
        <v>836</v>
      </c>
      <c r="F12" s="38" t="s">
        <v>832</v>
      </c>
      <c r="G12" s="39" t="s">
        <v>3</v>
      </c>
    </row>
    <row r="13" customFormat="false" ht="15.75" hidden="false" customHeight="true" outlineLevel="0" collapsed="false">
      <c r="A13" s="37" t="s">
        <v>758</v>
      </c>
      <c r="B13" s="38" t="s">
        <v>614</v>
      </c>
      <c r="C13" s="39" t="s">
        <v>615</v>
      </c>
      <c r="D13" s="38" t="s">
        <v>581</v>
      </c>
      <c r="E13" s="38" t="s">
        <v>837</v>
      </c>
      <c r="F13" s="38" t="s">
        <v>832</v>
      </c>
      <c r="G13" s="39" t="s">
        <v>3</v>
      </c>
    </row>
    <row r="14" customFormat="false" ht="15.75" hidden="false" customHeight="true" outlineLevel="0" collapsed="false">
      <c r="A14" s="37" t="s">
        <v>760</v>
      </c>
      <c r="B14" s="38" t="s">
        <v>614</v>
      </c>
      <c r="C14" s="39" t="s">
        <v>761</v>
      </c>
      <c r="D14" s="38" t="s">
        <v>596</v>
      </c>
      <c r="E14" s="38" t="s">
        <v>838</v>
      </c>
      <c r="F14" s="38" t="s">
        <v>653</v>
      </c>
      <c r="G14" s="39" t="s">
        <v>3</v>
      </c>
    </row>
    <row r="15" customFormat="false" ht="15.75" hidden="false" customHeight="true" outlineLevel="0" collapsed="false">
      <c r="A15" s="37" t="s">
        <v>765</v>
      </c>
      <c r="B15" s="38" t="s">
        <v>614</v>
      </c>
      <c r="C15" s="39" t="s">
        <v>766</v>
      </c>
      <c r="D15" s="38" t="s">
        <v>581</v>
      </c>
      <c r="E15" s="38" t="s">
        <v>839</v>
      </c>
      <c r="F15" s="38" t="s">
        <v>832</v>
      </c>
      <c r="G15" s="39" t="s">
        <v>3</v>
      </c>
    </row>
    <row r="16" customFormat="false" ht="15.75" hidden="false" customHeight="true" outlineLevel="0" collapsed="false">
      <c r="A16" s="37" t="s">
        <v>194</v>
      </c>
      <c r="B16" s="38" t="s">
        <v>614</v>
      </c>
      <c r="C16" s="39" t="s">
        <v>775</v>
      </c>
      <c r="D16" s="38" t="s">
        <v>596</v>
      </c>
      <c r="E16" s="38" t="s">
        <v>840</v>
      </c>
      <c r="F16" s="38" t="s">
        <v>832</v>
      </c>
      <c r="G16" s="39" t="s">
        <v>3</v>
      </c>
    </row>
    <row r="17" customFormat="false" ht="15.75" hidden="false" customHeight="true" outlineLevel="0" collapsed="false">
      <c r="A17" s="37" t="s">
        <v>670</v>
      </c>
      <c r="B17" s="38" t="s">
        <v>579</v>
      </c>
      <c r="C17" s="39" t="s">
        <v>671</v>
      </c>
      <c r="D17" s="38" t="s">
        <v>596</v>
      </c>
      <c r="E17" s="38" t="s">
        <v>672</v>
      </c>
      <c r="F17" s="38" t="s">
        <v>682</v>
      </c>
      <c r="G17" s="39" t="s">
        <v>3</v>
      </c>
    </row>
    <row r="18" customFormat="false" ht="28.5" hidden="false" customHeight="true" outlineLevel="0" collapsed="false">
      <c r="A18" s="11" t="s">
        <v>673</v>
      </c>
      <c r="B18" s="11"/>
      <c r="C18" s="9"/>
      <c r="D18" s="11"/>
      <c r="E18" s="11" t="s">
        <v>674</v>
      </c>
      <c r="F18" s="11"/>
      <c r="G18" s="9"/>
    </row>
    <row r="20" customFormat="false" ht="15" hidden="false" customHeight="false" outlineLevel="0" collapsed="false">
      <c r="A20" s="3" t="s">
        <v>675</v>
      </c>
    </row>
    <row r="21" customFormat="false" ht="15.75" hidden="false" customHeight="true" outlineLevel="0" collapsed="false">
      <c r="A21" s="2" t="s">
        <v>841</v>
      </c>
      <c r="B21" s="2"/>
      <c r="C21" s="2"/>
      <c r="D21" s="2"/>
      <c r="E21" s="2"/>
      <c r="F21" s="2"/>
      <c r="G21" s="2"/>
    </row>
  </sheetData>
  <mergeCells count="3">
    <mergeCell ref="B3:G3"/>
    <mergeCell ref="B4:G4"/>
    <mergeCell ref="A21:G21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27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39</v>
      </c>
    </row>
    <row r="3" customFormat="false" ht="15.75" hidden="false" customHeight="true" outlineLevel="0" collapsed="false">
      <c r="A3" s="36" t="s">
        <v>556</v>
      </c>
      <c r="B3" s="2" t="s">
        <v>842</v>
      </c>
      <c r="C3" s="2"/>
      <c r="D3" s="2"/>
      <c r="E3" s="2"/>
      <c r="F3" s="2"/>
      <c r="G3" s="2"/>
    </row>
    <row r="4" customFormat="false" ht="42" hidden="false" customHeight="true" outlineLevel="0" collapsed="false">
      <c r="A4" s="36" t="s">
        <v>558</v>
      </c>
      <c r="B4" s="2" t="s">
        <v>843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12" t="s">
        <v>566</v>
      </c>
      <c r="B7" s="11" t="s">
        <v>567</v>
      </c>
      <c r="C7" s="9" t="s">
        <v>568</v>
      </c>
      <c r="D7" s="11" t="s">
        <v>569</v>
      </c>
      <c r="E7" s="11" t="s">
        <v>570</v>
      </c>
      <c r="F7" s="11" t="s">
        <v>571</v>
      </c>
      <c r="G7" s="9" t="s">
        <v>7</v>
      </c>
    </row>
    <row r="8" customFormat="false" ht="15.75" hidden="false" customHeight="true" outlineLevel="0" collapsed="false">
      <c r="A8" s="12" t="s">
        <v>572</v>
      </c>
      <c r="B8" s="11" t="s">
        <v>567</v>
      </c>
      <c r="C8" s="9" t="s">
        <v>568</v>
      </c>
      <c r="D8" s="11" t="s">
        <v>573</v>
      </c>
      <c r="E8" s="11" t="s">
        <v>574</v>
      </c>
      <c r="F8" s="11" t="s">
        <v>571</v>
      </c>
      <c r="G8" s="9" t="s">
        <v>7</v>
      </c>
    </row>
    <row r="9" customFormat="false" ht="15.75" hidden="false" customHeight="true" outlineLevel="0" collapsed="false">
      <c r="A9" s="12" t="s">
        <v>576</v>
      </c>
      <c r="B9" s="11" t="s">
        <v>567</v>
      </c>
      <c r="C9" s="9" t="s">
        <v>568</v>
      </c>
      <c r="D9" s="11" t="s">
        <v>573</v>
      </c>
      <c r="E9" s="11" t="s">
        <v>577</v>
      </c>
      <c r="F9" s="11" t="s">
        <v>571</v>
      </c>
      <c r="G9" s="9" t="s">
        <v>7</v>
      </c>
    </row>
    <row r="10" customFormat="false" ht="15.75" hidden="false" customHeight="true" outlineLevel="0" collapsed="false">
      <c r="A10" s="37" t="s">
        <v>152</v>
      </c>
      <c r="B10" s="38" t="s">
        <v>567</v>
      </c>
      <c r="C10" s="39" t="s">
        <v>568</v>
      </c>
      <c r="D10" s="38" t="s">
        <v>573</v>
      </c>
      <c r="E10" s="38" t="s">
        <v>844</v>
      </c>
      <c r="F10" s="38" t="s">
        <v>653</v>
      </c>
      <c r="G10" s="39" t="s">
        <v>3</v>
      </c>
    </row>
    <row r="11" customFormat="false" ht="15.75" hidden="false" customHeight="true" outlineLevel="0" collapsed="false">
      <c r="A11" s="37" t="s">
        <v>604</v>
      </c>
      <c r="B11" s="38" t="s">
        <v>567</v>
      </c>
      <c r="C11" s="39" t="s">
        <v>568</v>
      </c>
      <c r="D11" s="38" t="s">
        <v>599</v>
      </c>
      <c r="E11" s="38" t="s">
        <v>845</v>
      </c>
      <c r="F11" s="38" t="s">
        <v>721</v>
      </c>
      <c r="G11" s="39" t="s">
        <v>3</v>
      </c>
    </row>
    <row r="12" customFormat="false" ht="28.5" hidden="false" customHeight="true" outlineLevel="0" collapsed="false">
      <c r="A12" s="37" t="s">
        <v>846</v>
      </c>
      <c r="B12" s="38" t="s">
        <v>579</v>
      </c>
      <c r="C12" s="39" t="s">
        <v>592</v>
      </c>
      <c r="D12" s="38" t="s">
        <v>847</v>
      </c>
      <c r="E12" s="38" t="s">
        <v>848</v>
      </c>
      <c r="F12" s="38" t="s">
        <v>849</v>
      </c>
      <c r="G12" s="39" t="s">
        <v>3</v>
      </c>
    </row>
    <row r="13" customFormat="false" ht="15.75" hidden="false" customHeight="true" outlineLevel="0" collapsed="false">
      <c r="A13" s="40" t="s">
        <v>185</v>
      </c>
      <c r="B13" s="41" t="s">
        <v>614</v>
      </c>
      <c r="C13" s="42" t="s">
        <v>625</v>
      </c>
      <c r="D13" s="41" t="s">
        <v>581</v>
      </c>
      <c r="E13" s="41" t="s">
        <v>850</v>
      </c>
      <c r="F13" s="41" t="s">
        <v>571</v>
      </c>
      <c r="G13" s="42" t="s">
        <v>5</v>
      </c>
    </row>
    <row r="14" customFormat="false" ht="15.75" hidden="false" customHeight="true" outlineLevel="0" collapsed="false">
      <c r="A14" s="40" t="s">
        <v>753</v>
      </c>
      <c r="B14" s="41" t="s">
        <v>614</v>
      </c>
      <c r="C14" s="42" t="s">
        <v>754</v>
      </c>
      <c r="D14" s="41" t="s">
        <v>596</v>
      </c>
      <c r="E14" s="41" t="s">
        <v>851</v>
      </c>
      <c r="F14" s="41" t="s">
        <v>571</v>
      </c>
      <c r="G14" s="42" t="s">
        <v>5</v>
      </c>
    </row>
    <row r="15" customFormat="false" ht="15.75" hidden="false" customHeight="true" outlineLevel="0" collapsed="false">
      <c r="A15" s="40" t="s">
        <v>756</v>
      </c>
      <c r="B15" s="41" t="s">
        <v>614</v>
      </c>
      <c r="C15" s="42" t="s">
        <v>754</v>
      </c>
      <c r="D15" s="41" t="s">
        <v>596</v>
      </c>
      <c r="E15" s="41" t="s">
        <v>851</v>
      </c>
      <c r="F15" s="41" t="s">
        <v>571</v>
      </c>
      <c r="G15" s="42" t="s">
        <v>5</v>
      </c>
    </row>
    <row r="16" customFormat="false" ht="28.5" hidden="false" customHeight="true" outlineLevel="0" collapsed="false">
      <c r="A16" s="37" t="s">
        <v>852</v>
      </c>
      <c r="B16" s="38" t="s">
        <v>853</v>
      </c>
      <c r="C16" s="39" t="s">
        <v>568</v>
      </c>
      <c r="D16" s="38" t="s">
        <v>596</v>
      </c>
      <c r="E16" s="38" t="s">
        <v>854</v>
      </c>
      <c r="F16" s="38" t="s">
        <v>855</v>
      </c>
      <c r="G16" s="39" t="s">
        <v>3</v>
      </c>
    </row>
    <row r="17" customFormat="false" ht="15.75" hidden="false" customHeight="true" outlineLevel="0" collapsed="false">
      <c r="A17" s="12" t="s">
        <v>670</v>
      </c>
      <c r="B17" s="11" t="s">
        <v>579</v>
      </c>
      <c r="C17" s="9" t="s">
        <v>671</v>
      </c>
      <c r="D17" s="11" t="s">
        <v>596</v>
      </c>
      <c r="E17" s="11" t="s">
        <v>672</v>
      </c>
      <c r="F17" s="11" t="s">
        <v>571</v>
      </c>
      <c r="G17" s="9" t="s">
        <v>7</v>
      </c>
    </row>
    <row r="18" customFormat="false" ht="28.5" hidden="false" customHeight="true" outlineLevel="0" collapsed="false">
      <c r="A18" s="11" t="s">
        <v>673</v>
      </c>
      <c r="B18" s="11"/>
      <c r="C18" s="9"/>
      <c r="D18" s="11"/>
      <c r="E18" s="11" t="s">
        <v>674</v>
      </c>
      <c r="F18" s="11"/>
      <c r="G18" s="9"/>
    </row>
    <row r="20" customFormat="false" ht="15" hidden="false" customHeight="false" outlineLevel="0" collapsed="false">
      <c r="A20" s="3" t="s">
        <v>675</v>
      </c>
    </row>
    <row r="21" customFormat="false" ht="15.75" hidden="false" customHeight="true" outlineLevel="0" collapsed="false">
      <c r="A21" s="2" t="s">
        <v>856</v>
      </c>
      <c r="B21" s="2"/>
      <c r="C21" s="2"/>
      <c r="D21" s="2"/>
      <c r="E21" s="2"/>
      <c r="F21" s="2"/>
      <c r="G21" s="2"/>
    </row>
  </sheetData>
  <mergeCells count="3">
    <mergeCell ref="B3:G3"/>
    <mergeCell ref="B4:G4"/>
    <mergeCell ref="A21:G21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30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41</v>
      </c>
    </row>
    <row r="3" customFormat="false" ht="15.75" hidden="false" customHeight="true" outlineLevel="0" collapsed="false">
      <c r="A3" s="36" t="s">
        <v>556</v>
      </c>
      <c r="B3" s="2" t="s">
        <v>857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858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682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682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682</v>
      </c>
      <c r="G9" s="39" t="s">
        <v>3</v>
      </c>
    </row>
    <row r="10" customFormat="false" ht="15.75" hidden="false" customHeight="true" outlineLevel="0" collapsed="false">
      <c r="A10" s="37" t="s">
        <v>152</v>
      </c>
      <c r="B10" s="38" t="s">
        <v>567</v>
      </c>
      <c r="C10" s="39" t="s">
        <v>568</v>
      </c>
      <c r="D10" s="38" t="s">
        <v>573</v>
      </c>
      <c r="E10" s="38" t="s">
        <v>859</v>
      </c>
      <c r="F10" s="38" t="s">
        <v>653</v>
      </c>
      <c r="G10" s="39" t="s">
        <v>3</v>
      </c>
    </row>
    <row r="11" customFormat="false" ht="28.5" hidden="false" customHeight="true" outlineLevel="0" collapsed="false">
      <c r="A11" s="37" t="s">
        <v>860</v>
      </c>
      <c r="B11" s="38" t="s">
        <v>579</v>
      </c>
      <c r="C11" s="39" t="s">
        <v>592</v>
      </c>
      <c r="D11" s="38" t="s">
        <v>861</v>
      </c>
      <c r="E11" s="38" t="s">
        <v>862</v>
      </c>
      <c r="F11" s="38" t="s">
        <v>304</v>
      </c>
      <c r="G11" s="39" t="s">
        <v>3</v>
      </c>
    </row>
    <row r="12" customFormat="false" ht="15.75" hidden="false" customHeight="true" outlineLevel="0" collapsed="false">
      <c r="A12" s="37" t="s">
        <v>863</v>
      </c>
      <c r="B12" s="38" t="s">
        <v>579</v>
      </c>
      <c r="C12" s="39" t="s">
        <v>668</v>
      </c>
      <c r="D12" s="38" t="s">
        <v>596</v>
      </c>
      <c r="E12" s="38" t="s">
        <v>864</v>
      </c>
      <c r="F12" s="38" t="s">
        <v>304</v>
      </c>
      <c r="G12" s="39" t="s">
        <v>3</v>
      </c>
    </row>
    <row r="13" customFormat="false" ht="15.75" hidden="false" customHeight="true" outlineLevel="0" collapsed="false">
      <c r="A13" s="37" t="s">
        <v>732</v>
      </c>
      <c r="B13" s="38" t="s">
        <v>579</v>
      </c>
      <c r="C13" s="39" t="s">
        <v>733</v>
      </c>
      <c r="D13" s="38" t="s">
        <v>596</v>
      </c>
      <c r="E13" s="38" t="s">
        <v>865</v>
      </c>
      <c r="F13" s="38" t="s">
        <v>731</v>
      </c>
      <c r="G13" s="39" t="s">
        <v>3</v>
      </c>
    </row>
    <row r="14" customFormat="false" ht="15.75" hidden="false" customHeight="true" outlineLevel="0" collapsed="false">
      <c r="A14" s="37" t="s">
        <v>866</v>
      </c>
      <c r="B14" s="38" t="s">
        <v>579</v>
      </c>
      <c r="C14" s="39" t="s">
        <v>580</v>
      </c>
      <c r="D14" s="38" t="s">
        <v>581</v>
      </c>
      <c r="E14" s="38" t="s">
        <v>867</v>
      </c>
      <c r="F14" s="38" t="s">
        <v>336</v>
      </c>
      <c r="G14" s="39" t="s">
        <v>3</v>
      </c>
    </row>
    <row r="15" customFormat="false" ht="15.75" hidden="false" customHeight="true" outlineLevel="0" collapsed="false">
      <c r="A15" s="37" t="s">
        <v>868</v>
      </c>
      <c r="B15" s="38" t="s">
        <v>579</v>
      </c>
      <c r="C15" s="39" t="s">
        <v>580</v>
      </c>
      <c r="D15" s="38" t="s">
        <v>596</v>
      </c>
      <c r="E15" s="38" t="s">
        <v>869</v>
      </c>
      <c r="F15" s="38" t="s">
        <v>324</v>
      </c>
      <c r="G15" s="39" t="s">
        <v>3</v>
      </c>
    </row>
    <row r="16" customFormat="false" ht="28.5" hidden="false" customHeight="true" outlineLevel="0" collapsed="false">
      <c r="A16" s="37" t="s">
        <v>870</v>
      </c>
      <c r="B16" s="38" t="s">
        <v>614</v>
      </c>
      <c r="C16" s="39" t="s">
        <v>631</v>
      </c>
      <c r="D16" s="38" t="s">
        <v>596</v>
      </c>
      <c r="E16" s="38" t="s">
        <v>871</v>
      </c>
      <c r="F16" s="38" t="s">
        <v>312</v>
      </c>
      <c r="G16" s="39" t="s">
        <v>3</v>
      </c>
    </row>
    <row r="17" customFormat="false" ht="15.75" hidden="false" customHeight="true" outlineLevel="0" collapsed="false">
      <c r="A17" s="37" t="s">
        <v>872</v>
      </c>
      <c r="B17" s="38" t="s">
        <v>614</v>
      </c>
      <c r="C17" s="39" t="s">
        <v>631</v>
      </c>
      <c r="D17" s="38" t="s">
        <v>596</v>
      </c>
      <c r="E17" s="38" t="s">
        <v>873</v>
      </c>
      <c r="F17" s="38" t="s">
        <v>312</v>
      </c>
      <c r="G17" s="39" t="s">
        <v>3</v>
      </c>
    </row>
    <row r="18" customFormat="false" ht="15.75" hidden="false" customHeight="true" outlineLevel="0" collapsed="false">
      <c r="A18" s="37" t="s">
        <v>874</v>
      </c>
      <c r="B18" s="38" t="s">
        <v>182</v>
      </c>
      <c r="C18" s="39" t="s">
        <v>568</v>
      </c>
      <c r="D18" s="38" t="s">
        <v>596</v>
      </c>
      <c r="E18" s="38" t="s">
        <v>875</v>
      </c>
      <c r="F18" s="38" t="s">
        <v>316</v>
      </c>
      <c r="G18" s="39" t="s">
        <v>3</v>
      </c>
    </row>
    <row r="19" customFormat="false" ht="15.75" hidden="false" customHeight="true" outlineLevel="0" collapsed="false">
      <c r="A19" s="37" t="s">
        <v>876</v>
      </c>
      <c r="B19" s="38" t="s">
        <v>182</v>
      </c>
      <c r="C19" s="39" t="s">
        <v>568</v>
      </c>
      <c r="D19" s="38" t="s">
        <v>596</v>
      </c>
      <c r="E19" s="38" t="s">
        <v>877</v>
      </c>
      <c r="F19" s="38" t="s">
        <v>316</v>
      </c>
      <c r="G19" s="39" t="s">
        <v>3</v>
      </c>
    </row>
    <row r="20" customFormat="false" ht="15.75" hidden="false" customHeight="true" outlineLevel="0" collapsed="false">
      <c r="A20" s="37" t="s">
        <v>878</v>
      </c>
      <c r="B20" s="38" t="s">
        <v>567</v>
      </c>
      <c r="C20" s="39" t="s">
        <v>568</v>
      </c>
      <c r="D20" s="38" t="s">
        <v>879</v>
      </c>
      <c r="E20" s="38" t="s">
        <v>880</v>
      </c>
      <c r="F20" s="38" t="s">
        <v>320</v>
      </c>
      <c r="G20" s="39" t="s">
        <v>3</v>
      </c>
    </row>
    <row r="21" customFormat="false" ht="15.75" hidden="false" customHeight="true" outlineLevel="0" collapsed="false">
      <c r="A21" s="37" t="s">
        <v>185</v>
      </c>
      <c r="B21" s="38" t="s">
        <v>614</v>
      </c>
      <c r="C21" s="39" t="s">
        <v>625</v>
      </c>
      <c r="D21" s="38" t="s">
        <v>596</v>
      </c>
      <c r="E21" s="38" t="s">
        <v>881</v>
      </c>
      <c r="F21" s="38" t="s">
        <v>653</v>
      </c>
      <c r="G21" s="39" t="s">
        <v>3</v>
      </c>
    </row>
    <row r="22" customFormat="false" ht="15.75" hidden="false" customHeight="true" outlineLevel="0" collapsed="false">
      <c r="A22" s="37" t="s">
        <v>670</v>
      </c>
      <c r="B22" s="38" t="s">
        <v>579</v>
      </c>
      <c r="C22" s="39" t="s">
        <v>671</v>
      </c>
      <c r="D22" s="38" t="s">
        <v>596</v>
      </c>
      <c r="E22" s="38" t="s">
        <v>672</v>
      </c>
      <c r="F22" s="38" t="s">
        <v>682</v>
      </c>
      <c r="G22" s="39" t="s">
        <v>3</v>
      </c>
    </row>
    <row r="23" customFormat="false" ht="28.5" hidden="false" customHeight="true" outlineLevel="0" collapsed="false">
      <c r="A23" s="11" t="s">
        <v>673</v>
      </c>
      <c r="B23" s="11"/>
      <c r="C23" s="9"/>
      <c r="D23" s="11"/>
      <c r="E23" s="11" t="s">
        <v>674</v>
      </c>
      <c r="F23" s="11"/>
      <c r="G23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30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43</v>
      </c>
    </row>
    <row r="3" customFormat="false" ht="15.75" hidden="false" customHeight="true" outlineLevel="0" collapsed="false">
      <c r="A3" s="36" t="s">
        <v>556</v>
      </c>
      <c r="B3" s="2" t="s">
        <v>882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883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682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682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682</v>
      </c>
      <c r="G9" s="39" t="s">
        <v>3</v>
      </c>
    </row>
    <row r="10" customFormat="false" ht="15.75" hidden="false" customHeight="true" outlineLevel="0" collapsed="false">
      <c r="A10" s="37" t="s">
        <v>884</v>
      </c>
      <c r="B10" s="38" t="s">
        <v>567</v>
      </c>
      <c r="C10" s="39" t="s">
        <v>568</v>
      </c>
      <c r="D10" s="38" t="s">
        <v>573</v>
      </c>
      <c r="E10" s="38" t="s">
        <v>46</v>
      </c>
      <c r="F10" s="38" t="s">
        <v>885</v>
      </c>
      <c r="G10" s="39" t="s">
        <v>3</v>
      </c>
    </row>
    <row r="11" customFormat="false" ht="15.75" hidden="false" customHeight="true" outlineLevel="0" collapsed="false">
      <c r="A11" s="37" t="s">
        <v>886</v>
      </c>
      <c r="B11" s="38" t="s">
        <v>579</v>
      </c>
      <c r="C11" s="39" t="s">
        <v>668</v>
      </c>
      <c r="D11" s="38" t="s">
        <v>581</v>
      </c>
      <c r="E11" s="38" t="s">
        <v>887</v>
      </c>
      <c r="F11" s="38" t="s">
        <v>280</v>
      </c>
      <c r="G11" s="39" t="s">
        <v>3</v>
      </c>
    </row>
    <row r="12" customFormat="false" ht="15.75" hidden="false" customHeight="true" outlineLevel="0" collapsed="false">
      <c r="A12" s="37" t="s">
        <v>888</v>
      </c>
      <c r="B12" s="38" t="s">
        <v>579</v>
      </c>
      <c r="C12" s="39" t="s">
        <v>889</v>
      </c>
      <c r="D12" s="38" t="s">
        <v>596</v>
      </c>
      <c r="E12" s="38" t="s">
        <v>890</v>
      </c>
      <c r="F12" s="38" t="s">
        <v>891</v>
      </c>
      <c r="G12" s="39" t="s">
        <v>3</v>
      </c>
    </row>
    <row r="13" customFormat="false" ht="15.75" hidden="false" customHeight="true" outlineLevel="0" collapsed="false">
      <c r="A13" s="37" t="s">
        <v>892</v>
      </c>
      <c r="B13" s="38" t="s">
        <v>579</v>
      </c>
      <c r="C13" s="39" t="s">
        <v>668</v>
      </c>
      <c r="D13" s="38" t="s">
        <v>596</v>
      </c>
      <c r="E13" s="38" t="s">
        <v>893</v>
      </c>
      <c r="F13" s="38" t="s">
        <v>894</v>
      </c>
      <c r="G13" s="39" t="s">
        <v>3</v>
      </c>
    </row>
    <row r="14" customFormat="false" ht="15.75" hidden="false" customHeight="true" outlineLevel="0" collapsed="false">
      <c r="A14" s="37" t="s">
        <v>895</v>
      </c>
      <c r="B14" s="38" t="s">
        <v>579</v>
      </c>
      <c r="C14" s="39" t="s">
        <v>733</v>
      </c>
      <c r="D14" s="38" t="s">
        <v>581</v>
      </c>
      <c r="E14" s="38" t="s">
        <v>896</v>
      </c>
      <c r="F14" s="38" t="s">
        <v>897</v>
      </c>
      <c r="G14" s="39" t="s">
        <v>3</v>
      </c>
    </row>
    <row r="15" customFormat="false" ht="15.75" hidden="false" customHeight="true" outlineLevel="0" collapsed="false">
      <c r="A15" s="37" t="s">
        <v>898</v>
      </c>
      <c r="B15" s="38" t="s">
        <v>579</v>
      </c>
      <c r="C15" s="39" t="s">
        <v>899</v>
      </c>
      <c r="D15" s="38" t="s">
        <v>581</v>
      </c>
      <c r="E15" s="38" t="s">
        <v>900</v>
      </c>
      <c r="F15" s="38" t="s">
        <v>897</v>
      </c>
      <c r="G15" s="39" t="s">
        <v>3</v>
      </c>
    </row>
    <row r="16" customFormat="false" ht="15.75" hidden="false" customHeight="true" outlineLevel="0" collapsed="false">
      <c r="A16" s="37" t="s">
        <v>901</v>
      </c>
      <c r="B16" s="38" t="s">
        <v>579</v>
      </c>
      <c r="C16" s="39" t="s">
        <v>902</v>
      </c>
      <c r="D16" s="38" t="s">
        <v>596</v>
      </c>
      <c r="E16" s="38" t="s">
        <v>903</v>
      </c>
      <c r="F16" s="38" t="s">
        <v>904</v>
      </c>
      <c r="G16" s="39" t="s">
        <v>3</v>
      </c>
    </row>
    <row r="17" customFormat="false" ht="15.75" hidden="false" customHeight="true" outlineLevel="0" collapsed="false">
      <c r="A17" s="37" t="s">
        <v>905</v>
      </c>
      <c r="B17" s="38" t="s">
        <v>579</v>
      </c>
      <c r="C17" s="39" t="s">
        <v>671</v>
      </c>
      <c r="D17" s="38" t="s">
        <v>596</v>
      </c>
      <c r="E17" s="38" t="s">
        <v>906</v>
      </c>
      <c r="F17" s="38" t="s">
        <v>288</v>
      </c>
      <c r="G17" s="39" t="s">
        <v>3</v>
      </c>
    </row>
    <row r="18" customFormat="false" ht="15.75" hidden="false" customHeight="true" outlineLevel="0" collapsed="false">
      <c r="A18" s="37" t="s">
        <v>907</v>
      </c>
      <c r="B18" s="38" t="s">
        <v>614</v>
      </c>
      <c r="C18" s="39" t="s">
        <v>625</v>
      </c>
      <c r="D18" s="38" t="s">
        <v>581</v>
      </c>
      <c r="E18" s="38" t="s">
        <v>908</v>
      </c>
      <c r="F18" s="38" t="s">
        <v>292</v>
      </c>
      <c r="G18" s="39" t="s">
        <v>3</v>
      </c>
    </row>
    <row r="19" customFormat="false" ht="15.75" hidden="false" customHeight="true" outlineLevel="0" collapsed="false">
      <c r="A19" s="37" t="s">
        <v>909</v>
      </c>
      <c r="B19" s="38" t="s">
        <v>636</v>
      </c>
      <c r="C19" s="39" t="s">
        <v>568</v>
      </c>
      <c r="D19" s="38" t="s">
        <v>910</v>
      </c>
      <c r="E19" s="38" t="s">
        <v>911</v>
      </c>
      <c r="F19" s="38" t="s">
        <v>296</v>
      </c>
      <c r="G19" s="39" t="s">
        <v>3</v>
      </c>
    </row>
    <row r="20" customFormat="false" ht="15.75" hidden="false" customHeight="true" outlineLevel="0" collapsed="false">
      <c r="A20" s="37" t="s">
        <v>912</v>
      </c>
      <c r="B20" s="38" t="s">
        <v>579</v>
      </c>
      <c r="C20" s="39" t="s">
        <v>733</v>
      </c>
      <c r="D20" s="38" t="s">
        <v>596</v>
      </c>
      <c r="E20" s="38" t="s">
        <v>913</v>
      </c>
      <c r="F20" s="38" t="s">
        <v>300</v>
      </c>
      <c r="G20" s="39" t="s">
        <v>3</v>
      </c>
    </row>
    <row r="21" customFormat="false" ht="28.5" hidden="false" customHeight="true" outlineLevel="0" collapsed="false">
      <c r="A21" s="37" t="s">
        <v>914</v>
      </c>
      <c r="B21" s="38" t="s">
        <v>579</v>
      </c>
      <c r="C21" s="39" t="s">
        <v>592</v>
      </c>
      <c r="D21" s="38" t="s">
        <v>596</v>
      </c>
      <c r="E21" s="38" t="s">
        <v>915</v>
      </c>
      <c r="F21" s="38" t="s">
        <v>916</v>
      </c>
      <c r="G21" s="39" t="s">
        <v>3</v>
      </c>
    </row>
    <row r="22" customFormat="false" ht="15.75" hidden="false" customHeight="true" outlineLevel="0" collapsed="false">
      <c r="A22" s="37" t="s">
        <v>917</v>
      </c>
      <c r="B22" s="38" t="s">
        <v>579</v>
      </c>
      <c r="C22" s="39" t="s">
        <v>722</v>
      </c>
      <c r="D22" s="38" t="s">
        <v>596</v>
      </c>
      <c r="E22" s="38" t="s">
        <v>918</v>
      </c>
      <c r="F22" s="38" t="s">
        <v>916</v>
      </c>
      <c r="G22" s="39" t="s">
        <v>3</v>
      </c>
    </row>
    <row r="23" customFormat="false" ht="15.75" hidden="false" customHeight="true" outlineLevel="0" collapsed="false">
      <c r="A23" s="37" t="s">
        <v>670</v>
      </c>
      <c r="B23" s="38" t="s">
        <v>579</v>
      </c>
      <c r="C23" s="39" t="s">
        <v>671</v>
      </c>
      <c r="D23" s="38" t="s">
        <v>596</v>
      </c>
      <c r="E23" s="38" t="s">
        <v>672</v>
      </c>
      <c r="F23" s="38" t="s">
        <v>682</v>
      </c>
      <c r="G23" s="39" t="s">
        <v>3</v>
      </c>
    </row>
    <row r="24" customFormat="false" ht="28.5" hidden="false" customHeight="true" outlineLevel="0" collapsed="false">
      <c r="A24" s="11" t="s">
        <v>673</v>
      </c>
      <c r="B24" s="11"/>
      <c r="C24" s="9"/>
      <c r="D24" s="11"/>
      <c r="E24" s="11" t="s">
        <v>674</v>
      </c>
      <c r="F24" s="11"/>
      <c r="G24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30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45</v>
      </c>
    </row>
    <row r="3" customFormat="false" ht="15.75" hidden="false" customHeight="true" outlineLevel="0" collapsed="false">
      <c r="A3" s="36" t="s">
        <v>556</v>
      </c>
      <c r="B3" s="2" t="s">
        <v>919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920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682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682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682</v>
      </c>
      <c r="G9" s="39" t="s">
        <v>3</v>
      </c>
    </row>
    <row r="10" customFormat="false" ht="15.75" hidden="false" customHeight="true" outlineLevel="0" collapsed="false">
      <c r="A10" s="37" t="s">
        <v>921</v>
      </c>
      <c r="B10" s="38" t="s">
        <v>579</v>
      </c>
      <c r="C10" s="39" t="s">
        <v>889</v>
      </c>
      <c r="D10" s="38" t="s">
        <v>581</v>
      </c>
      <c r="E10" s="38" t="s">
        <v>922</v>
      </c>
      <c r="F10" s="38" t="s">
        <v>923</v>
      </c>
      <c r="G10" s="39" t="s">
        <v>3</v>
      </c>
    </row>
    <row r="11" customFormat="false" ht="28.5" hidden="false" customHeight="true" outlineLevel="0" collapsed="false">
      <c r="A11" s="37" t="s">
        <v>924</v>
      </c>
      <c r="B11" s="38" t="s">
        <v>579</v>
      </c>
      <c r="C11" s="39" t="s">
        <v>925</v>
      </c>
      <c r="D11" s="38" t="s">
        <v>926</v>
      </c>
      <c r="E11" s="38" t="s">
        <v>927</v>
      </c>
      <c r="F11" s="38" t="s">
        <v>928</v>
      </c>
      <c r="G11" s="39" t="s">
        <v>3</v>
      </c>
    </row>
    <row r="12" customFormat="false" ht="15.75" hidden="false" customHeight="true" outlineLevel="0" collapsed="false">
      <c r="A12" s="37" t="s">
        <v>888</v>
      </c>
      <c r="B12" s="38" t="s">
        <v>579</v>
      </c>
      <c r="C12" s="39" t="s">
        <v>889</v>
      </c>
      <c r="D12" s="38" t="s">
        <v>596</v>
      </c>
      <c r="E12" s="38" t="s">
        <v>929</v>
      </c>
      <c r="F12" s="38" t="s">
        <v>930</v>
      </c>
      <c r="G12" s="39" t="s">
        <v>3</v>
      </c>
    </row>
    <row r="13" customFormat="false" ht="15.75" hidden="false" customHeight="true" outlineLevel="0" collapsed="false">
      <c r="A13" s="37" t="s">
        <v>931</v>
      </c>
      <c r="B13" s="38" t="s">
        <v>579</v>
      </c>
      <c r="C13" s="39" t="s">
        <v>733</v>
      </c>
      <c r="D13" s="38" t="s">
        <v>596</v>
      </c>
      <c r="E13" s="38" t="s">
        <v>932</v>
      </c>
      <c r="F13" s="38" t="s">
        <v>933</v>
      </c>
      <c r="G13" s="39" t="s">
        <v>3</v>
      </c>
    </row>
    <row r="14" customFormat="false" ht="15.75" hidden="false" customHeight="true" outlineLevel="0" collapsed="false">
      <c r="A14" s="37" t="s">
        <v>895</v>
      </c>
      <c r="B14" s="38" t="s">
        <v>579</v>
      </c>
      <c r="C14" s="39" t="s">
        <v>733</v>
      </c>
      <c r="D14" s="38" t="s">
        <v>596</v>
      </c>
      <c r="E14" s="38" t="s">
        <v>934</v>
      </c>
      <c r="F14" s="38" t="s">
        <v>935</v>
      </c>
      <c r="G14" s="39" t="s">
        <v>3</v>
      </c>
    </row>
    <row r="15" customFormat="false" ht="15.75" hidden="false" customHeight="true" outlineLevel="0" collapsed="false">
      <c r="A15" s="37" t="s">
        <v>898</v>
      </c>
      <c r="B15" s="38" t="s">
        <v>579</v>
      </c>
      <c r="C15" s="39" t="s">
        <v>899</v>
      </c>
      <c r="D15" s="38" t="s">
        <v>596</v>
      </c>
      <c r="E15" s="38" t="s">
        <v>936</v>
      </c>
      <c r="F15" s="38" t="s">
        <v>937</v>
      </c>
      <c r="G15" s="39" t="s">
        <v>3</v>
      </c>
    </row>
    <row r="16" customFormat="false" ht="15.75" hidden="false" customHeight="true" outlineLevel="0" collapsed="false">
      <c r="A16" s="37" t="s">
        <v>901</v>
      </c>
      <c r="B16" s="38" t="s">
        <v>579</v>
      </c>
      <c r="C16" s="39" t="s">
        <v>902</v>
      </c>
      <c r="D16" s="38" t="s">
        <v>596</v>
      </c>
      <c r="E16" s="38" t="s">
        <v>938</v>
      </c>
      <c r="F16" s="38" t="s">
        <v>939</v>
      </c>
      <c r="G16" s="39" t="s">
        <v>3</v>
      </c>
    </row>
    <row r="17" customFormat="false" ht="15.75" hidden="false" customHeight="true" outlineLevel="0" collapsed="false">
      <c r="A17" s="37" t="s">
        <v>940</v>
      </c>
      <c r="B17" s="38" t="s">
        <v>579</v>
      </c>
      <c r="C17" s="39" t="s">
        <v>585</v>
      </c>
      <c r="D17" s="38" t="s">
        <v>596</v>
      </c>
      <c r="E17" s="38" t="s">
        <v>941</v>
      </c>
      <c r="F17" s="38" t="s">
        <v>942</v>
      </c>
      <c r="G17" s="39" t="s">
        <v>3</v>
      </c>
    </row>
    <row r="18" customFormat="false" ht="15.75" hidden="false" customHeight="true" outlineLevel="0" collapsed="false">
      <c r="A18" s="37" t="s">
        <v>943</v>
      </c>
      <c r="B18" s="38" t="s">
        <v>579</v>
      </c>
      <c r="C18" s="39" t="s">
        <v>668</v>
      </c>
      <c r="D18" s="38" t="s">
        <v>596</v>
      </c>
      <c r="E18" s="38" t="s">
        <v>944</v>
      </c>
      <c r="F18" s="38" t="s">
        <v>945</v>
      </c>
      <c r="G18" s="39" t="s">
        <v>3</v>
      </c>
    </row>
    <row r="19" customFormat="false" ht="15.75" hidden="false" customHeight="true" outlineLevel="0" collapsed="false">
      <c r="A19" s="37" t="s">
        <v>670</v>
      </c>
      <c r="B19" s="38" t="s">
        <v>579</v>
      </c>
      <c r="C19" s="39" t="s">
        <v>671</v>
      </c>
      <c r="D19" s="38" t="s">
        <v>596</v>
      </c>
      <c r="E19" s="38" t="s">
        <v>672</v>
      </c>
      <c r="F19" s="38" t="s">
        <v>682</v>
      </c>
      <c r="G19" s="39" t="s">
        <v>3</v>
      </c>
    </row>
    <row r="20" customFormat="false" ht="28.5" hidden="false" customHeight="true" outlineLevel="0" collapsed="false">
      <c r="A20" s="11" t="s">
        <v>673</v>
      </c>
      <c r="B20" s="11"/>
      <c r="C20" s="9"/>
      <c r="D20" s="11"/>
      <c r="E20" s="11" t="s">
        <v>674</v>
      </c>
      <c r="F20" s="11"/>
      <c r="G20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48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47</v>
      </c>
    </row>
    <row r="3" customFormat="false" ht="15.75" hidden="false" customHeight="true" outlineLevel="0" collapsed="false">
      <c r="A3" s="36" t="s">
        <v>556</v>
      </c>
      <c r="B3" s="2" t="s">
        <v>946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947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682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682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682</v>
      </c>
      <c r="G9" s="39" t="s">
        <v>3</v>
      </c>
    </row>
    <row r="10" customFormat="false" ht="15.75" hidden="false" customHeight="true" outlineLevel="0" collapsed="false">
      <c r="A10" s="37" t="s">
        <v>886</v>
      </c>
      <c r="B10" s="38" t="s">
        <v>579</v>
      </c>
      <c r="C10" s="39" t="s">
        <v>668</v>
      </c>
      <c r="D10" s="38" t="s">
        <v>581</v>
      </c>
      <c r="E10" s="38" t="s">
        <v>948</v>
      </c>
      <c r="F10" s="38" t="s">
        <v>653</v>
      </c>
      <c r="G10" s="39" t="s">
        <v>3</v>
      </c>
    </row>
    <row r="11" customFormat="false" ht="28.5" hidden="false" customHeight="true" outlineLevel="0" collapsed="false">
      <c r="A11" s="37" t="s">
        <v>152</v>
      </c>
      <c r="B11" s="38" t="s">
        <v>567</v>
      </c>
      <c r="C11" s="39" t="s">
        <v>568</v>
      </c>
      <c r="D11" s="38" t="s">
        <v>573</v>
      </c>
      <c r="E11" s="38" t="s">
        <v>949</v>
      </c>
      <c r="F11" s="38" t="s">
        <v>950</v>
      </c>
      <c r="G11" s="39" t="s">
        <v>3</v>
      </c>
    </row>
    <row r="12" customFormat="false" ht="15.75" hidden="false" customHeight="true" outlineLevel="0" collapsed="false">
      <c r="A12" s="37" t="s">
        <v>951</v>
      </c>
      <c r="B12" s="38" t="s">
        <v>579</v>
      </c>
      <c r="C12" s="39" t="s">
        <v>668</v>
      </c>
      <c r="D12" s="38" t="s">
        <v>596</v>
      </c>
      <c r="E12" s="38" t="s">
        <v>952</v>
      </c>
      <c r="F12" s="38" t="s">
        <v>953</v>
      </c>
      <c r="G12" s="39" t="s">
        <v>3</v>
      </c>
    </row>
    <row r="13" customFormat="false" ht="28.5" hidden="false" customHeight="true" outlineLevel="0" collapsed="false">
      <c r="A13" s="37" t="s">
        <v>811</v>
      </c>
      <c r="B13" s="38" t="s">
        <v>614</v>
      </c>
      <c r="C13" s="39" t="s">
        <v>661</v>
      </c>
      <c r="D13" s="38" t="s">
        <v>581</v>
      </c>
      <c r="E13" s="38" t="s">
        <v>954</v>
      </c>
      <c r="F13" s="38" t="s">
        <v>392</v>
      </c>
      <c r="G13" s="39" t="s">
        <v>3</v>
      </c>
    </row>
    <row r="14" customFormat="false" ht="28.5" hidden="false" customHeight="true" outlineLevel="0" collapsed="false">
      <c r="A14" s="37" t="s">
        <v>814</v>
      </c>
      <c r="B14" s="38" t="s">
        <v>614</v>
      </c>
      <c r="C14" s="39" t="s">
        <v>661</v>
      </c>
      <c r="D14" s="38" t="s">
        <v>581</v>
      </c>
      <c r="E14" s="38" t="s">
        <v>955</v>
      </c>
      <c r="F14" s="38" t="s">
        <v>392</v>
      </c>
      <c r="G14" s="39" t="s">
        <v>3</v>
      </c>
    </row>
    <row r="15" customFormat="false" ht="15.75" hidden="false" customHeight="true" outlineLevel="0" collapsed="false">
      <c r="A15" s="37" t="s">
        <v>816</v>
      </c>
      <c r="B15" s="38" t="s">
        <v>579</v>
      </c>
      <c r="C15" s="39" t="s">
        <v>817</v>
      </c>
      <c r="D15" s="38" t="s">
        <v>596</v>
      </c>
      <c r="E15" s="38" t="s">
        <v>956</v>
      </c>
      <c r="F15" s="38" t="s">
        <v>653</v>
      </c>
      <c r="G15" s="39" t="s">
        <v>3</v>
      </c>
    </row>
    <row r="16" customFormat="false" ht="15.75" hidden="false" customHeight="true" outlineLevel="0" collapsed="false">
      <c r="A16" s="37" t="s">
        <v>957</v>
      </c>
      <c r="B16" s="38" t="s">
        <v>567</v>
      </c>
      <c r="C16" s="39" t="s">
        <v>568</v>
      </c>
      <c r="D16" s="38" t="s">
        <v>581</v>
      </c>
      <c r="E16" s="38" t="s">
        <v>958</v>
      </c>
      <c r="F16" s="38" t="s">
        <v>959</v>
      </c>
      <c r="G16" s="39" t="s">
        <v>3</v>
      </c>
    </row>
    <row r="17" customFormat="false" ht="15.75" hidden="false" customHeight="true" outlineLevel="0" collapsed="false">
      <c r="A17" s="37" t="s">
        <v>960</v>
      </c>
      <c r="B17" s="38" t="s">
        <v>579</v>
      </c>
      <c r="C17" s="39" t="s">
        <v>733</v>
      </c>
      <c r="D17" s="38" t="s">
        <v>596</v>
      </c>
      <c r="E17" s="38" t="s">
        <v>961</v>
      </c>
      <c r="F17" s="38" t="s">
        <v>962</v>
      </c>
      <c r="G17" s="39" t="s">
        <v>3</v>
      </c>
    </row>
    <row r="18" customFormat="false" ht="15.75" hidden="false" customHeight="true" outlineLevel="0" collapsed="false">
      <c r="A18" s="37" t="s">
        <v>963</v>
      </c>
      <c r="B18" s="38" t="s">
        <v>614</v>
      </c>
      <c r="C18" s="39" t="s">
        <v>631</v>
      </c>
      <c r="D18" s="38" t="s">
        <v>596</v>
      </c>
      <c r="E18" s="38" t="s">
        <v>964</v>
      </c>
      <c r="F18" s="38" t="s">
        <v>400</v>
      </c>
      <c r="G18" s="39" t="s">
        <v>3</v>
      </c>
    </row>
    <row r="19" customFormat="false" ht="15.75" hidden="false" customHeight="true" outlineLevel="0" collapsed="false">
      <c r="A19" s="37" t="s">
        <v>965</v>
      </c>
      <c r="B19" s="38" t="s">
        <v>614</v>
      </c>
      <c r="C19" s="39" t="s">
        <v>631</v>
      </c>
      <c r="D19" s="38" t="s">
        <v>596</v>
      </c>
      <c r="E19" s="38" t="s">
        <v>966</v>
      </c>
      <c r="F19" s="38" t="s">
        <v>400</v>
      </c>
      <c r="G19" s="39" t="s">
        <v>3</v>
      </c>
    </row>
    <row r="20" customFormat="false" ht="15.75" hidden="false" customHeight="true" outlineLevel="0" collapsed="false">
      <c r="A20" s="37" t="s">
        <v>967</v>
      </c>
      <c r="B20" s="38" t="s">
        <v>614</v>
      </c>
      <c r="C20" s="39" t="s">
        <v>631</v>
      </c>
      <c r="D20" s="38" t="s">
        <v>596</v>
      </c>
      <c r="E20" s="38" t="s">
        <v>968</v>
      </c>
      <c r="F20" s="38" t="s">
        <v>400</v>
      </c>
      <c r="G20" s="39" t="s">
        <v>3</v>
      </c>
    </row>
    <row r="21" customFormat="false" ht="15.75" hidden="false" customHeight="true" outlineLevel="0" collapsed="false">
      <c r="A21" s="37" t="s">
        <v>969</v>
      </c>
      <c r="B21" s="38" t="s">
        <v>614</v>
      </c>
      <c r="C21" s="39" t="s">
        <v>640</v>
      </c>
      <c r="D21" s="38" t="s">
        <v>581</v>
      </c>
      <c r="E21" s="38" t="s">
        <v>970</v>
      </c>
      <c r="F21" s="38" t="s">
        <v>971</v>
      </c>
      <c r="G21" s="39" t="s">
        <v>3</v>
      </c>
    </row>
    <row r="22" customFormat="false" ht="15.75" hidden="false" customHeight="true" outlineLevel="0" collapsed="false">
      <c r="A22" s="37" t="s">
        <v>972</v>
      </c>
      <c r="B22" s="38" t="s">
        <v>567</v>
      </c>
      <c r="C22" s="39" t="s">
        <v>568</v>
      </c>
      <c r="D22" s="38" t="s">
        <v>581</v>
      </c>
      <c r="E22" s="38" t="s">
        <v>973</v>
      </c>
      <c r="F22" s="38" t="s">
        <v>974</v>
      </c>
      <c r="G22" s="39" t="s">
        <v>3</v>
      </c>
    </row>
    <row r="23" customFormat="false" ht="15.75" hidden="false" customHeight="true" outlineLevel="0" collapsed="false">
      <c r="A23" s="37" t="s">
        <v>975</v>
      </c>
      <c r="B23" s="38" t="s">
        <v>614</v>
      </c>
      <c r="C23" s="39" t="s">
        <v>661</v>
      </c>
      <c r="D23" s="38" t="s">
        <v>596</v>
      </c>
      <c r="E23" s="38" t="s">
        <v>976</v>
      </c>
      <c r="F23" s="38" t="s">
        <v>977</v>
      </c>
      <c r="G23" s="39" t="s">
        <v>3</v>
      </c>
    </row>
    <row r="24" customFormat="false" ht="28.5" hidden="false" customHeight="true" outlineLevel="0" collapsed="false">
      <c r="A24" s="37" t="s">
        <v>978</v>
      </c>
      <c r="B24" s="38" t="s">
        <v>614</v>
      </c>
      <c r="C24" s="39" t="s">
        <v>661</v>
      </c>
      <c r="D24" s="38" t="s">
        <v>596</v>
      </c>
      <c r="E24" s="38" t="s">
        <v>979</v>
      </c>
      <c r="F24" s="38" t="s">
        <v>980</v>
      </c>
      <c r="G24" s="39" t="s">
        <v>3</v>
      </c>
    </row>
    <row r="25" customFormat="false" ht="15.75" hidden="false" customHeight="true" outlineLevel="0" collapsed="false">
      <c r="A25" s="37" t="s">
        <v>670</v>
      </c>
      <c r="B25" s="38" t="s">
        <v>579</v>
      </c>
      <c r="C25" s="39" t="s">
        <v>671</v>
      </c>
      <c r="D25" s="38" t="s">
        <v>596</v>
      </c>
      <c r="E25" s="38" t="s">
        <v>672</v>
      </c>
      <c r="F25" s="38" t="s">
        <v>682</v>
      </c>
      <c r="G25" s="39" t="s">
        <v>3</v>
      </c>
    </row>
    <row r="26" customFormat="false" ht="28.5" hidden="false" customHeight="true" outlineLevel="0" collapsed="false">
      <c r="A26" s="11" t="s">
        <v>673</v>
      </c>
      <c r="B26" s="11"/>
      <c r="C26" s="9"/>
      <c r="D26" s="11"/>
      <c r="E26" s="11" t="s">
        <v>674</v>
      </c>
      <c r="F26" s="11"/>
      <c r="G26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51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50</v>
      </c>
    </row>
    <row r="3" customFormat="false" ht="15.75" hidden="false" customHeight="true" outlineLevel="0" collapsed="false">
      <c r="A3" s="36" t="s">
        <v>556</v>
      </c>
      <c r="B3" s="2" t="s">
        <v>981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982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12" t="s">
        <v>566</v>
      </c>
      <c r="B7" s="11" t="s">
        <v>567</v>
      </c>
      <c r="C7" s="9" t="s">
        <v>568</v>
      </c>
      <c r="D7" s="11" t="s">
        <v>569</v>
      </c>
      <c r="E7" s="11" t="s">
        <v>570</v>
      </c>
      <c r="F7" s="11" t="s">
        <v>571</v>
      </c>
      <c r="G7" s="9" t="s">
        <v>7</v>
      </c>
    </row>
    <row r="8" customFormat="false" ht="15.75" hidden="false" customHeight="true" outlineLevel="0" collapsed="false">
      <c r="A8" s="12" t="s">
        <v>572</v>
      </c>
      <c r="B8" s="11" t="s">
        <v>567</v>
      </c>
      <c r="C8" s="9" t="s">
        <v>568</v>
      </c>
      <c r="D8" s="11" t="s">
        <v>573</v>
      </c>
      <c r="E8" s="11" t="s">
        <v>574</v>
      </c>
      <c r="F8" s="11" t="s">
        <v>571</v>
      </c>
      <c r="G8" s="9" t="s">
        <v>7</v>
      </c>
    </row>
    <row r="9" customFormat="false" ht="15.75" hidden="false" customHeight="true" outlineLevel="0" collapsed="false">
      <c r="A9" s="12" t="s">
        <v>576</v>
      </c>
      <c r="B9" s="11" t="s">
        <v>567</v>
      </c>
      <c r="C9" s="9" t="s">
        <v>568</v>
      </c>
      <c r="D9" s="11" t="s">
        <v>573</v>
      </c>
      <c r="E9" s="11" t="s">
        <v>577</v>
      </c>
      <c r="F9" s="11" t="s">
        <v>571</v>
      </c>
      <c r="G9" s="9" t="s">
        <v>7</v>
      </c>
    </row>
    <row r="10" customFormat="false" ht="15.75" hidden="false" customHeight="true" outlineLevel="0" collapsed="false">
      <c r="A10" s="12" t="s">
        <v>214</v>
      </c>
      <c r="B10" s="11" t="s">
        <v>567</v>
      </c>
      <c r="C10" s="9" t="s">
        <v>568</v>
      </c>
      <c r="D10" s="11" t="s">
        <v>573</v>
      </c>
      <c r="E10" s="11" t="s">
        <v>983</v>
      </c>
      <c r="F10" s="11" t="s">
        <v>571</v>
      </c>
      <c r="G10" s="9" t="s">
        <v>7</v>
      </c>
    </row>
    <row r="11" customFormat="false" ht="15.75" hidden="false" customHeight="true" outlineLevel="0" collapsed="false">
      <c r="A11" s="37" t="s">
        <v>212</v>
      </c>
      <c r="B11" s="38" t="s">
        <v>567</v>
      </c>
      <c r="C11" s="39" t="s">
        <v>568</v>
      </c>
      <c r="D11" s="38" t="s">
        <v>599</v>
      </c>
      <c r="E11" s="38" t="s">
        <v>984</v>
      </c>
      <c r="F11" s="38" t="s">
        <v>653</v>
      </c>
      <c r="G11" s="39" t="s">
        <v>3</v>
      </c>
    </row>
    <row r="12" customFormat="false" ht="15.75" hidden="false" customHeight="true" outlineLevel="0" collapsed="false">
      <c r="A12" s="37" t="s">
        <v>833</v>
      </c>
      <c r="B12" s="38" t="s">
        <v>567</v>
      </c>
      <c r="C12" s="39" t="s">
        <v>568</v>
      </c>
      <c r="D12" s="38" t="s">
        <v>599</v>
      </c>
      <c r="E12" s="38" t="s">
        <v>985</v>
      </c>
      <c r="F12" s="38" t="s">
        <v>653</v>
      </c>
      <c r="G12" s="39" t="s">
        <v>3</v>
      </c>
    </row>
    <row r="13" customFormat="false" ht="15.75" hidden="false" customHeight="true" outlineLevel="0" collapsed="false">
      <c r="A13" s="37" t="s">
        <v>986</v>
      </c>
      <c r="B13" s="38" t="s">
        <v>182</v>
      </c>
      <c r="C13" s="39" t="s">
        <v>568</v>
      </c>
      <c r="D13" s="38" t="s">
        <v>596</v>
      </c>
      <c r="E13" s="38" t="s">
        <v>987</v>
      </c>
      <c r="F13" s="38" t="s">
        <v>653</v>
      </c>
      <c r="G13" s="39" t="s">
        <v>3</v>
      </c>
    </row>
    <row r="14" customFormat="false" ht="15.75" hidden="false" customHeight="true" outlineLevel="0" collapsed="false">
      <c r="A14" s="37" t="s">
        <v>988</v>
      </c>
      <c r="B14" s="38" t="s">
        <v>182</v>
      </c>
      <c r="C14" s="39" t="s">
        <v>568</v>
      </c>
      <c r="D14" s="38" t="s">
        <v>596</v>
      </c>
      <c r="E14" s="38" t="s">
        <v>989</v>
      </c>
      <c r="F14" s="38" t="s">
        <v>653</v>
      </c>
      <c r="G14" s="39" t="s">
        <v>3</v>
      </c>
    </row>
    <row r="15" customFormat="false" ht="28.5" hidden="false" customHeight="true" outlineLevel="0" collapsed="false">
      <c r="A15" s="40" t="s">
        <v>185</v>
      </c>
      <c r="B15" s="41" t="s">
        <v>614</v>
      </c>
      <c r="C15" s="42" t="s">
        <v>625</v>
      </c>
      <c r="D15" s="41" t="s">
        <v>581</v>
      </c>
      <c r="E15" s="41" t="s">
        <v>990</v>
      </c>
      <c r="F15" s="41" t="s">
        <v>571</v>
      </c>
      <c r="G15" s="42" t="s">
        <v>5</v>
      </c>
    </row>
    <row r="16" customFormat="false" ht="15.75" hidden="false" customHeight="true" outlineLevel="0" collapsed="false">
      <c r="A16" s="40" t="s">
        <v>753</v>
      </c>
      <c r="B16" s="41" t="s">
        <v>614</v>
      </c>
      <c r="C16" s="42" t="s">
        <v>754</v>
      </c>
      <c r="D16" s="41" t="s">
        <v>596</v>
      </c>
      <c r="E16" s="41" t="s">
        <v>991</v>
      </c>
      <c r="F16" s="41" t="s">
        <v>571</v>
      </c>
      <c r="G16" s="42" t="s">
        <v>5</v>
      </c>
    </row>
    <row r="17" customFormat="false" ht="15.75" hidden="false" customHeight="true" outlineLevel="0" collapsed="false">
      <c r="A17" s="40" t="s">
        <v>756</v>
      </c>
      <c r="B17" s="41" t="s">
        <v>614</v>
      </c>
      <c r="C17" s="42" t="s">
        <v>754</v>
      </c>
      <c r="D17" s="41" t="s">
        <v>596</v>
      </c>
      <c r="E17" s="41" t="s">
        <v>991</v>
      </c>
      <c r="F17" s="41" t="s">
        <v>571</v>
      </c>
      <c r="G17" s="42" t="s">
        <v>5</v>
      </c>
    </row>
    <row r="18" customFormat="false" ht="15.75" hidden="false" customHeight="true" outlineLevel="0" collapsed="false">
      <c r="A18" s="40" t="s">
        <v>758</v>
      </c>
      <c r="B18" s="41" t="s">
        <v>614</v>
      </c>
      <c r="C18" s="42" t="s">
        <v>615</v>
      </c>
      <c r="D18" s="41" t="s">
        <v>581</v>
      </c>
      <c r="E18" s="41" t="s">
        <v>992</v>
      </c>
      <c r="F18" s="41" t="s">
        <v>571</v>
      </c>
      <c r="G18" s="42" t="s">
        <v>5</v>
      </c>
    </row>
    <row r="19" customFormat="false" ht="15.75" hidden="false" customHeight="true" outlineLevel="0" collapsed="false">
      <c r="A19" s="12" t="s">
        <v>670</v>
      </c>
      <c r="B19" s="11" t="s">
        <v>579</v>
      </c>
      <c r="C19" s="9" t="s">
        <v>671</v>
      </c>
      <c r="D19" s="11" t="s">
        <v>596</v>
      </c>
      <c r="E19" s="11" t="s">
        <v>672</v>
      </c>
      <c r="F19" s="11" t="s">
        <v>571</v>
      </c>
      <c r="G19" s="9" t="s">
        <v>7</v>
      </c>
    </row>
    <row r="20" customFormat="false" ht="28.5" hidden="false" customHeight="true" outlineLevel="0" collapsed="false">
      <c r="A20" s="11" t="s">
        <v>673</v>
      </c>
      <c r="B20" s="11"/>
      <c r="C20" s="9"/>
      <c r="D20" s="11"/>
      <c r="E20" s="11" t="s">
        <v>674</v>
      </c>
      <c r="F20" s="11"/>
      <c r="G20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27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53</v>
      </c>
    </row>
    <row r="3" customFormat="false" ht="15.75" hidden="false" customHeight="true" outlineLevel="0" collapsed="false">
      <c r="A3" s="36" t="s">
        <v>556</v>
      </c>
      <c r="B3" s="2" t="s">
        <v>993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994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12" t="s">
        <v>566</v>
      </c>
      <c r="B7" s="11" t="s">
        <v>567</v>
      </c>
      <c r="C7" s="9" t="s">
        <v>568</v>
      </c>
      <c r="D7" s="11" t="s">
        <v>569</v>
      </c>
      <c r="E7" s="11" t="s">
        <v>570</v>
      </c>
      <c r="F7" s="11" t="s">
        <v>571</v>
      </c>
      <c r="G7" s="9" t="s">
        <v>7</v>
      </c>
    </row>
    <row r="8" customFormat="false" ht="15.75" hidden="false" customHeight="true" outlineLevel="0" collapsed="false">
      <c r="A8" s="12" t="s">
        <v>572</v>
      </c>
      <c r="B8" s="11" t="s">
        <v>567</v>
      </c>
      <c r="C8" s="9" t="s">
        <v>568</v>
      </c>
      <c r="D8" s="11" t="s">
        <v>573</v>
      </c>
      <c r="E8" s="11" t="s">
        <v>574</v>
      </c>
      <c r="F8" s="11" t="s">
        <v>571</v>
      </c>
      <c r="G8" s="9" t="s">
        <v>7</v>
      </c>
    </row>
    <row r="9" customFormat="false" ht="15.75" hidden="false" customHeight="true" outlineLevel="0" collapsed="false">
      <c r="A9" s="12" t="s">
        <v>576</v>
      </c>
      <c r="B9" s="11" t="s">
        <v>567</v>
      </c>
      <c r="C9" s="9" t="s">
        <v>568</v>
      </c>
      <c r="D9" s="11" t="s">
        <v>573</v>
      </c>
      <c r="E9" s="11" t="s">
        <v>577</v>
      </c>
      <c r="F9" s="11" t="s">
        <v>571</v>
      </c>
      <c r="G9" s="9" t="s">
        <v>7</v>
      </c>
    </row>
    <row r="10" customFormat="false" ht="28.5" hidden="false" customHeight="true" outlineLevel="0" collapsed="false">
      <c r="A10" s="37" t="s">
        <v>212</v>
      </c>
      <c r="B10" s="38" t="s">
        <v>567</v>
      </c>
      <c r="C10" s="39" t="s">
        <v>568</v>
      </c>
      <c r="D10" s="38" t="s">
        <v>573</v>
      </c>
      <c r="E10" s="38" t="s">
        <v>995</v>
      </c>
      <c r="F10" s="38" t="s">
        <v>996</v>
      </c>
      <c r="G10" s="39" t="s">
        <v>3</v>
      </c>
    </row>
    <row r="11" customFormat="false" ht="28.5" hidden="false" customHeight="true" outlineLevel="0" collapsed="false">
      <c r="A11" s="40" t="s">
        <v>833</v>
      </c>
      <c r="B11" s="41" t="s">
        <v>567</v>
      </c>
      <c r="C11" s="42" t="s">
        <v>568</v>
      </c>
      <c r="D11" s="41" t="s">
        <v>573</v>
      </c>
      <c r="E11" s="41" t="s">
        <v>997</v>
      </c>
      <c r="F11" s="41" t="s">
        <v>571</v>
      </c>
      <c r="G11" s="42" t="s">
        <v>5</v>
      </c>
    </row>
    <row r="12" customFormat="false" ht="15.75" hidden="false" customHeight="true" outlineLevel="0" collapsed="false">
      <c r="A12" s="37" t="s">
        <v>149</v>
      </c>
      <c r="B12" s="38" t="s">
        <v>567</v>
      </c>
      <c r="C12" s="39" t="s">
        <v>568</v>
      </c>
      <c r="D12" s="38" t="s">
        <v>599</v>
      </c>
      <c r="E12" s="38" t="s">
        <v>998</v>
      </c>
      <c r="F12" s="38" t="s">
        <v>999</v>
      </c>
      <c r="G12" s="39" t="s">
        <v>3</v>
      </c>
    </row>
    <row r="13" customFormat="false" ht="28.5" hidden="false" customHeight="true" outlineLevel="0" collapsed="false">
      <c r="A13" s="37" t="s">
        <v>691</v>
      </c>
      <c r="B13" s="38" t="s">
        <v>567</v>
      </c>
      <c r="C13" s="39" t="s">
        <v>568</v>
      </c>
      <c r="D13" s="38" t="s">
        <v>599</v>
      </c>
      <c r="E13" s="38" t="s">
        <v>1000</v>
      </c>
      <c r="F13" s="38" t="s">
        <v>999</v>
      </c>
      <c r="G13" s="39" t="s">
        <v>3</v>
      </c>
    </row>
    <row r="14" customFormat="false" ht="15.75" hidden="false" customHeight="true" outlineLevel="0" collapsed="false">
      <c r="A14" s="37" t="s">
        <v>1001</v>
      </c>
      <c r="B14" s="38" t="s">
        <v>579</v>
      </c>
      <c r="C14" s="39" t="s">
        <v>589</v>
      </c>
      <c r="D14" s="38" t="s">
        <v>581</v>
      </c>
      <c r="E14" s="38" t="s">
        <v>1002</v>
      </c>
      <c r="F14" s="38" t="s">
        <v>999</v>
      </c>
      <c r="G14" s="39" t="s">
        <v>3</v>
      </c>
    </row>
    <row r="15" customFormat="false" ht="28.5" hidden="false" customHeight="true" outlineLevel="0" collapsed="false">
      <c r="A15" s="40" t="s">
        <v>179</v>
      </c>
      <c r="B15" s="41" t="s">
        <v>567</v>
      </c>
      <c r="C15" s="42" t="s">
        <v>568</v>
      </c>
      <c r="D15" s="41" t="s">
        <v>599</v>
      </c>
      <c r="E15" s="41" t="s">
        <v>1003</v>
      </c>
      <c r="F15" s="41" t="s">
        <v>571</v>
      </c>
      <c r="G15" s="42" t="s">
        <v>5</v>
      </c>
    </row>
    <row r="16" customFormat="false" ht="15.75" hidden="false" customHeight="true" outlineLevel="0" collapsed="false">
      <c r="A16" s="37" t="s">
        <v>1004</v>
      </c>
      <c r="B16" s="38" t="s">
        <v>182</v>
      </c>
      <c r="C16" s="39" t="s">
        <v>568</v>
      </c>
      <c r="D16" s="38" t="s">
        <v>581</v>
      </c>
      <c r="E16" s="38" t="s">
        <v>1005</v>
      </c>
      <c r="F16" s="38" t="s">
        <v>653</v>
      </c>
      <c r="G16" s="39" t="s">
        <v>3</v>
      </c>
    </row>
    <row r="17" customFormat="false" ht="15.75" hidden="false" customHeight="true" outlineLevel="0" collapsed="false">
      <c r="A17" s="37" t="s">
        <v>1006</v>
      </c>
      <c r="B17" s="38" t="s">
        <v>567</v>
      </c>
      <c r="C17" s="39" t="s">
        <v>568</v>
      </c>
      <c r="D17" s="38" t="s">
        <v>599</v>
      </c>
      <c r="E17" s="38" t="s">
        <v>1007</v>
      </c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1008</v>
      </c>
      <c r="B18" s="38" t="s">
        <v>579</v>
      </c>
      <c r="C18" s="39" t="s">
        <v>580</v>
      </c>
      <c r="D18" s="38" t="s">
        <v>596</v>
      </c>
      <c r="E18" s="38" t="s">
        <v>1009</v>
      </c>
      <c r="F18" s="38" t="s">
        <v>653</v>
      </c>
      <c r="G18" s="39" t="s">
        <v>3</v>
      </c>
    </row>
    <row r="19" customFormat="false" ht="15.75" hidden="false" customHeight="true" outlineLevel="0" collapsed="false">
      <c r="A19" s="37" t="s">
        <v>1010</v>
      </c>
      <c r="B19" s="38" t="s">
        <v>614</v>
      </c>
      <c r="C19" s="39" t="s">
        <v>1011</v>
      </c>
      <c r="D19" s="38" t="s">
        <v>596</v>
      </c>
      <c r="E19" s="38" t="s">
        <v>1012</v>
      </c>
      <c r="F19" s="38" t="s">
        <v>238</v>
      </c>
      <c r="G19" s="39" t="s">
        <v>3</v>
      </c>
    </row>
    <row r="20" customFormat="false" ht="28.5" hidden="false" customHeight="true" outlineLevel="0" collapsed="false">
      <c r="A20" s="37" t="s">
        <v>1013</v>
      </c>
      <c r="B20" s="38" t="s">
        <v>567</v>
      </c>
      <c r="C20" s="39" t="s">
        <v>568</v>
      </c>
      <c r="D20" s="38" t="s">
        <v>599</v>
      </c>
      <c r="E20" s="38" t="s">
        <v>1014</v>
      </c>
      <c r="F20" s="38" t="s">
        <v>238</v>
      </c>
      <c r="G20" s="39" t="s">
        <v>3</v>
      </c>
    </row>
    <row r="21" customFormat="false" ht="15.75" hidden="false" customHeight="true" outlineLevel="0" collapsed="false">
      <c r="A21" s="37" t="s">
        <v>1015</v>
      </c>
      <c r="B21" s="38" t="s">
        <v>579</v>
      </c>
      <c r="C21" s="39" t="s">
        <v>1016</v>
      </c>
      <c r="D21" s="38" t="s">
        <v>596</v>
      </c>
      <c r="E21" s="38" t="s">
        <v>1017</v>
      </c>
      <c r="F21" s="38" t="s">
        <v>653</v>
      </c>
      <c r="G21" s="39" t="s">
        <v>3</v>
      </c>
    </row>
    <row r="22" customFormat="false" ht="15.75" hidden="false" customHeight="true" outlineLevel="0" collapsed="false">
      <c r="A22" s="37" t="s">
        <v>1018</v>
      </c>
      <c r="B22" s="38" t="s">
        <v>579</v>
      </c>
      <c r="C22" s="39" t="s">
        <v>592</v>
      </c>
      <c r="D22" s="38" t="s">
        <v>596</v>
      </c>
      <c r="E22" s="38" t="s">
        <v>1019</v>
      </c>
      <c r="F22" s="38" t="s">
        <v>653</v>
      </c>
      <c r="G22" s="39" t="s">
        <v>3</v>
      </c>
    </row>
    <row r="23" customFormat="false" ht="15.75" hidden="false" customHeight="true" outlineLevel="0" collapsed="false">
      <c r="A23" s="40" t="s">
        <v>1020</v>
      </c>
      <c r="B23" s="41" t="s">
        <v>614</v>
      </c>
      <c r="C23" s="42" t="s">
        <v>761</v>
      </c>
      <c r="D23" s="41" t="s">
        <v>581</v>
      </c>
      <c r="E23" s="41" t="s">
        <v>1021</v>
      </c>
      <c r="F23" s="41" t="s">
        <v>571</v>
      </c>
      <c r="G23" s="42" t="s">
        <v>5</v>
      </c>
    </row>
    <row r="24" customFormat="false" ht="42" hidden="false" customHeight="true" outlineLevel="0" collapsed="false">
      <c r="A24" s="37" t="s">
        <v>620</v>
      </c>
      <c r="B24" s="38" t="s">
        <v>614</v>
      </c>
      <c r="C24" s="39" t="s">
        <v>778</v>
      </c>
      <c r="D24" s="38" t="s">
        <v>1022</v>
      </c>
      <c r="E24" s="38" t="s">
        <v>1023</v>
      </c>
      <c r="F24" s="38" t="s">
        <v>999</v>
      </c>
      <c r="G24" s="39" t="s">
        <v>3</v>
      </c>
    </row>
    <row r="25" customFormat="false" ht="15.75" hidden="false" customHeight="true" outlineLevel="0" collapsed="false">
      <c r="A25" s="40" t="s">
        <v>1024</v>
      </c>
      <c r="B25" s="41" t="s">
        <v>614</v>
      </c>
      <c r="C25" s="42" t="s">
        <v>761</v>
      </c>
      <c r="D25" s="41" t="s">
        <v>581</v>
      </c>
      <c r="E25" s="41" t="s">
        <v>1025</v>
      </c>
      <c r="F25" s="41" t="s">
        <v>571</v>
      </c>
      <c r="G25" s="42" t="s">
        <v>5</v>
      </c>
    </row>
    <row r="26" customFormat="false" ht="42" hidden="false" customHeight="true" outlineLevel="0" collapsed="false">
      <c r="A26" s="40" t="s">
        <v>1026</v>
      </c>
      <c r="B26" s="41" t="s">
        <v>614</v>
      </c>
      <c r="C26" s="42" t="s">
        <v>625</v>
      </c>
      <c r="D26" s="41" t="s">
        <v>581</v>
      </c>
      <c r="E26" s="41" t="s">
        <v>1027</v>
      </c>
      <c r="F26" s="41" t="s">
        <v>571</v>
      </c>
      <c r="G26" s="42" t="s">
        <v>5</v>
      </c>
    </row>
    <row r="27" customFormat="false" ht="28.5" hidden="false" customHeight="true" outlineLevel="0" collapsed="false">
      <c r="A27" s="40" t="s">
        <v>1028</v>
      </c>
      <c r="B27" s="41" t="s">
        <v>614</v>
      </c>
      <c r="C27" s="42" t="s">
        <v>625</v>
      </c>
      <c r="D27" s="41" t="s">
        <v>581</v>
      </c>
      <c r="E27" s="41" t="s">
        <v>1029</v>
      </c>
      <c r="F27" s="41" t="s">
        <v>571</v>
      </c>
      <c r="G27" s="42" t="s">
        <v>5</v>
      </c>
    </row>
    <row r="28" customFormat="false" ht="28.5" hidden="false" customHeight="true" outlineLevel="0" collapsed="false">
      <c r="A28" s="37" t="s">
        <v>1030</v>
      </c>
      <c r="B28" s="38" t="s">
        <v>614</v>
      </c>
      <c r="C28" s="39" t="s">
        <v>661</v>
      </c>
      <c r="D28" s="38" t="s">
        <v>581</v>
      </c>
      <c r="E28" s="38" t="s">
        <v>1031</v>
      </c>
      <c r="F28" s="38" t="s">
        <v>999</v>
      </c>
      <c r="G28" s="39" t="s">
        <v>3</v>
      </c>
    </row>
    <row r="29" customFormat="false" ht="15.75" hidden="false" customHeight="true" outlineLevel="0" collapsed="false">
      <c r="A29" s="12" t="s">
        <v>670</v>
      </c>
      <c r="B29" s="11" t="s">
        <v>579</v>
      </c>
      <c r="C29" s="9" t="s">
        <v>671</v>
      </c>
      <c r="D29" s="11" t="s">
        <v>596</v>
      </c>
      <c r="E29" s="11" t="s">
        <v>672</v>
      </c>
      <c r="F29" s="11" t="s">
        <v>571</v>
      </c>
      <c r="G29" s="9" t="s">
        <v>7</v>
      </c>
    </row>
    <row r="30" customFormat="false" ht="28.5" hidden="false" customHeight="true" outlineLevel="0" collapsed="false">
      <c r="A30" s="11" t="s">
        <v>673</v>
      </c>
      <c r="B30" s="11"/>
      <c r="C30" s="9"/>
      <c r="D30" s="11"/>
      <c r="E30" s="11" t="s">
        <v>674</v>
      </c>
      <c r="F30" s="11"/>
      <c r="G30" s="9"/>
    </row>
    <row r="32" customFormat="false" ht="15" hidden="false" customHeight="false" outlineLevel="0" collapsed="false">
      <c r="A32" s="3" t="s">
        <v>675</v>
      </c>
    </row>
    <row r="33" customFormat="false" ht="15.75" hidden="false" customHeight="true" outlineLevel="0" collapsed="false">
      <c r="A33" s="2" t="s">
        <v>1032</v>
      </c>
      <c r="B33" s="2"/>
      <c r="C33" s="2"/>
      <c r="D33" s="2"/>
      <c r="E33" s="2"/>
      <c r="F33" s="2"/>
      <c r="G33" s="2"/>
    </row>
    <row r="34" customFormat="false" ht="15.75" hidden="false" customHeight="true" outlineLevel="0" collapsed="false">
      <c r="A34" s="2" t="s">
        <v>1033</v>
      </c>
      <c r="B34" s="2"/>
      <c r="C34" s="2"/>
      <c r="D34" s="2"/>
      <c r="E34" s="2"/>
      <c r="F34" s="2"/>
      <c r="G34" s="2"/>
    </row>
    <row r="35" customFormat="false" ht="15.75" hidden="false" customHeight="true" outlineLevel="0" collapsed="false">
      <c r="A35" s="2" t="s">
        <v>1034</v>
      </c>
      <c r="B35" s="2"/>
      <c r="C35" s="2"/>
      <c r="D35" s="2"/>
      <c r="E35" s="2"/>
      <c r="F35" s="2"/>
      <c r="G35" s="2"/>
    </row>
    <row r="36" customFormat="false" ht="15.75" hidden="false" customHeight="true" outlineLevel="0" collapsed="false">
      <c r="A36" s="2" t="s">
        <v>1035</v>
      </c>
      <c r="B36" s="2"/>
      <c r="C36" s="2"/>
      <c r="D36" s="2"/>
      <c r="E36" s="2"/>
      <c r="F36" s="2"/>
      <c r="G36" s="2"/>
    </row>
    <row r="37" customFormat="false" ht="15.75" hidden="false" customHeight="true" outlineLevel="0" collapsed="false">
      <c r="A37" s="2" t="s">
        <v>1036</v>
      </c>
      <c r="B37" s="2"/>
      <c r="C37" s="2"/>
      <c r="D37" s="2"/>
      <c r="E37" s="2"/>
      <c r="F37" s="2"/>
      <c r="G37" s="2"/>
    </row>
  </sheetData>
  <mergeCells count="7">
    <mergeCell ref="B3:G3"/>
    <mergeCell ref="B4:G4"/>
    <mergeCell ref="A33:G33"/>
    <mergeCell ref="A34:G34"/>
    <mergeCell ref="A35:G35"/>
    <mergeCell ref="A36:G36"/>
    <mergeCell ref="A37:G37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27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55</v>
      </c>
    </row>
    <row r="3" customFormat="false" ht="15.75" hidden="false" customHeight="true" outlineLevel="0" collapsed="false">
      <c r="A3" s="36" t="s">
        <v>556</v>
      </c>
      <c r="B3" s="2" t="s">
        <v>1037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1038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12" t="s">
        <v>566</v>
      </c>
      <c r="B7" s="11" t="s">
        <v>567</v>
      </c>
      <c r="C7" s="9" t="s">
        <v>568</v>
      </c>
      <c r="D7" s="11" t="s">
        <v>569</v>
      </c>
      <c r="E7" s="11" t="s">
        <v>570</v>
      </c>
      <c r="F7" s="11" t="s">
        <v>571</v>
      </c>
      <c r="G7" s="9" t="s">
        <v>7</v>
      </c>
    </row>
    <row r="8" customFormat="false" ht="15.75" hidden="false" customHeight="true" outlineLevel="0" collapsed="false">
      <c r="A8" s="12" t="s">
        <v>572</v>
      </c>
      <c r="B8" s="11" t="s">
        <v>567</v>
      </c>
      <c r="C8" s="9" t="s">
        <v>568</v>
      </c>
      <c r="D8" s="11" t="s">
        <v>573</v>
      </c>
      <c r="E8" s="11" t="s">
        <v>574</v>
      </c>
      <c r="F8" s="11" t="s">
        <v>571</v>
      </c>
      <c r="G8" s="9" t="s">
        <v>7</v>
      </c>
    </row>
    <row r="9" customFormat="false" ht="15.75" hidden="false" customHeight="true" outlineLevel="0" collapsed="false">
      <c r="A9" s="12" t="s">
        <v>576</v>
      </c>
      <c r="B9" s="11" t="s">
        <v>567</v>
      </c>
      <c r="C9" s="9" t="s">
        <v>568</v>
      </c>
      <c r="D9" s="11" t="s">
        <v>573</v>
      </c>
      <c r="E9" s="11" t="s">
        <v>577</v>
      </c>
      <c r="F9" s="11" t="s">
        <v>571</v>
      </c>
      <c r="G9" s="9" t="s">
        <v>7</v>
      </c>
    </row>
    <row r="10" customFormat="false" ht="28.5" hidden="false" customHeight="true" outlineLevel="0" collapsed="false">
      <c r="A10" s="37" t="s">
        <v>921</v>
      </c>
      <c r="B10" s="38" t="s">
        <v>579</v>
      </c>
      <c r="C10" s="39" t="s">
        <v>889</v>
      </c>
      <c r="D10" s="38" t="s">
        <v>581</v>
      </c>
      <c r="E10" s="38" t="s">
        <v>1039</v>
      </c>
      <c r="F10" s="38" t="s">
        <v>1040</v>
      </c>
      <c r="G10" s="39" t="s">
        <v>3</v>
      </c>
    </row>
    <row r="11" customFormat="false" ht="28.5" hidden="false" customHeight="true" outlineLevel="0" collapsed="false">
      <c r="A11" s="37" t="s">
        <v>924</v>
      </c>
      <c r="B11" s="38" t="s">
        <v>579</v>
      </c>
      <c r="C11" s="39" t="s">
        <v>925</v>
      </c>
      <c r="D11" s="38" t="s">
        <v>926</v>
      </c>
      <c r="E11" s="38" t="s">
        <v>1041</v>
      </c>
      <c r="F11" s="38" t="s">
        <v>1040</v>
      </c>
      <c r="G11" s="39" t="s">
        <v>3</v>
      </c>
    </row>
    <row r="12" customFormat="false" ht="28.5" hidden="false" customHeight="true" outlineLevel="0" collapsed="false">
      <c r="A12" s="37" t="s">
        <v>888</v>
      </c>
      <c r="B12" s="38" t="s">
        <v>579</v>
      </c>
      <c r="C12" s="39" t="s">
        <v>889</v>
      </c>
      <c r="D12" s="38" t="s">
        <v>596</v>
      </c>
      <c r="E12" s="38" t="s">
        <v>1042</v>
      </c>
      <c r="F12" s="38" t="s">
        <v>1040</v>
      </c>
      <c r="G12" s="39" t="s">
        <v>3</v>
      </c>
    </row>
    <row r="13" customFormat="false" ht="28.5" hidden="false" customHeight="true" outlineLevel="0" collapsed="false">
      <c r="A13" s="37" t="s">
        <v>931</v>
      </c>
      <c r="B13" s="38" t="s">
        <v>579</v>
      </c>
      <c r="C13" s="39" t="s">
        <v>733</v>
      </c>
      <c r="D13" s="38" t="s">
        <v>596</v>
      </c>
      <c r="E13" s="38" t="s">
        <v>1042</v>
      </c>
      <c r="F13" s="38" t="s">
        <v>1040</v>
      </c>
      <c r="G13" s="39" t="s">
        <v>3</v>
      </c>
    </row>
    <row r="14" customFormat="false" ht="28.5" hidden="false" customHeight="true" outlineLevel="0" collapsed="false">
      <c r="A14" s="37" t="s">
        <v>895</v>
      </c>
      <c r="B14" s="38" t="s">
        <v>579</v>
      </c>
      <c r="C14" s="39" t="s">
        <v>733</v>
      </c>
      <c r="D14" s="38" t="s">
        <v>596</v>
      </c>
      <c r="E14" s="38" t="s">
        <v>1042</v>
      </c>
      <c r="F14" s="38" t="s">
        <v>1040</v>
      </c>
      <c r="G14" s="39" t="s">
        <v>3</v>
      </c>
    </row>
    <row r="15" customFormat="false" ht="28.5" hidden="false" customHeight="true" outlineLevel="0" collapsed="false">
      <c r="A15" s="37" t="s">
        <v>898</v>
      </c>
      <c r="B15" s="38" t="s">
        <v>579</v>
      </c>
      <c r="C15" s="39" t="s">
        <v>899</v>
      </c>
      <c r="D15" s="38" t="s">
        <v>596</v>
      </c>
      <c r="E15" s="38" t="s">
        <v>1042</v>
      </c>
      <c r="F15" s="38" t="s">
        <v>1040</v>
      </c>
      <c r="G15" s="39" t="s">
        <v>3</v>
      </c>
    </row>
    <row r="16" customFormat="false" ht="28.5" hidden="false" customHeight="true" outlineLevel="0" collapsed="false">
      <c r="A16" s="37" t="s">
        <v>901</v>
      </c>
      <c r="B16" s="38" t="s">
        <v>579</v>
      </c>
      <c r="C16" s="39" t="s">
        <v>902</v>
      </c>
      <c r="D16" s="38" t="s">
        <v>596</v>
      </c>
      <c r="E16" s="38" t="s">
        <v>1042</v>
      </c>
      <c r="F16" s="38" t="s">
        <v>1040</v>
      </c>
      <c r="G16" s="39" t="s">
        <v>3</v>
      </c>
    </row>
    <row r="17" customFormat="false" ht="28.5" hidden="false" customHeight="true" outlineLevel="0" collapsed="false">
      <c r="A17" s="37" t="s">
        <v>940</v>
      </c>
      <c r="B17" s="38" t="s">
        <v>579</v>
      </c>
      <c r="C17" s="39" t="s">
        <v>585</v>
      </c>
      <c r="D17" s="38" t="s">
        <v>596</v>
      </c>
      <c r="E17" s="38" t="s">
        <v>1042</v>
      </c>
      <c r="F17" s="38" t="s">
        <v>1040</v>
      </c>
      <c r="G17" s="39" t="s">
        <v>3</v>
      </c>
    </row>
    <row r="18" customFormat="false" ht="28.5" hidden="false" customHeight="true" outlineLevel="0" collapsed="false">
      <c r="A18" s="37" t="s">
        <v>943</v>
      </c>
      <c r="B18" s="38" t="s">
        <v>579</v>
      </c>
      <c r="C18" s="39" t="s">
        <v>668</v>
      </c>
      <c r="D18" s="38" t="s">
        <v>596</v>
      </c>
      <c r="E18" s="38" t="s">
        <v>1042</v>
      </c>
      <c r="F18" s="38" t="s">
        <v>1040</v>
      </c>
      <c r="G18" s="39" t="s">
        <v>3</v>
      </c>
    </row>
    <row r="19" customFormat="false" ht="28.5" hidden="false" customHeight="true" outlineLevel="0" collapsed="false">
      <c r="A19" s="40" t="s">
        <v>1043</v>
      </c>
      <c r="B19" s="41" t="s">
        <v>636</v>
      </c>
      <c r="C19" s="42" t="s">
        <v>568</v>
      </c>
      <c r="D19" s="41" t="s">
        <v>910</v>
      </c>
      <c r="E19" s="41" t="s">
        <v>1044</v>
      </c>
      <c r="F19" s="41" t="s">
        <v>1045</v>
      </c>
      <c r="G19" s="42" t="s">
        <v>5</v>
      </c>
    </row>
    <row r="20" customFormat="false" ht="15.75" hidden="false" customHeight="true" outlineLevel="0" collapsed="false">
      <c r="A20" s="40" t="s">
        <v>1046</v>
      </c>
      <c r="B20" s="41" t="s">
        <v>636</v>
      </c>
      <c r="C20" s="42" t="s">
        <v>568</v>
      </c>
      <c r="D20" s="41" t="s">
        <v>910</v>
      </c>
      <c r="E20" s="41" t="s">
        <v>1047</v>
      </c>
      <c r="F20" s="41" t="s">
        <v>1045</v>
      </c>
      <c r="G20" s="42" t="s">
        <v>5</v>
      </c>
    </row>
    <row r="21" customFormat="false" ht="15.75" hidden="false" customHeight="true" outlineLevel="0" collapsed="false">
      <c r="A21" s="40" t="s">
        <v>1048</v>
      </c>
      <c r="B21" s="41" t="s">
        <v>636</v>
      </c>
      <c r="C21" s="42" t="s">
        <v>568</v>
      </c>
      <c r="D21" s="41" t="s">
        <v>910</v>
      </c>
      <c r="E21" s="41" t="s">
        <v>1049</v>
      </c>
      <c r="F21" s="41" t="s">
        <v>1045</v>
      </c>
      <c r="G21" s="42" t="s">
        <v>5</v>
      </c>
    </row>
    <row r="22" customFormat="false" ht="15.75" hidden="false" customHeight="true" outlineLevel="0" collapsed="false">
      <c r="A22" s="37" t="s">
        <v>1050</v>
      </c>
      <c r="B22" s="38" t="s">
        <v>579</v>
      </c>
      <c r="C22" s="39" t="s">
        <v>1051</v>
      </c>
      <c r="D22" s="38" t="s">
        <v>596</v>
      </c>
      <c r="E22" s="38" t="s">
        <v>1052</v>
      </c>
      <c r="F22" s="38" t="s">
        <v>238</v>
      </c>
      <c r="G22" s="39" t="s">
        <v>3</v>
      </c>
    </row>
    <row r="23" customFormat="false" ht="15.75" hidden="false" customHeight="true" outlineLevel="0" collapsed="false">
      <c r="A23" s="37" t="s">
        <v>1053</v>
      </c>
      <c r="B23" s="38" t="s">
        <v>579</v>
      </c>
      <c r="C23" s="39" t="s">
        <v>580</v>
      </c>
      <c r="D23" s="38" t="s">
        <v>596</v>
      </c>
      <c r="E23" s="38" t="s">
        <v>1054</v>
      </c>
      <c r="F23" s="38" t="s">
        <v>238</v>
      </c>
      <c r="G23" s="39" t="s">
        <v>3</v>
      </c>
    </row>
    <row r="24" customFormat="false" ht="15.75" hidden="false" customHeight="true" outlineLevel="0" collapsed="false">
      <c r="A24" s="37" t="s">
        <v>1055</v>
      </c>
      <c r="B24" s="38" t="s">
        <v>579</v>
      </c>
      <c r="C24" s="39" t="s">
        <v>585</v>
      </c>
      <c r="D24" s="38" t="s">
        <v>596</v>
      </c>
      <c r="E24" s="38" t="s">
        <v>1056</v>
      </c>
      <c r="F24" s="38" t="s">
        <v>238</v>
      </c>
      <c r="G24" s="39" t="s">
        <v>3</v>
      </c>
    </row>
    <row r="25" customFormat="false" ht="15.75" hidden="false" customHeight="true" outlineLevel="0" collapsed="false">
      <c r="A25" s="37" t="s">
        <v>1057</v>
      </c>
      <c r="B25" s="38" t="s">
        <v>579</v>
      </c>
      <c r="C25" s="39" t="s">
        <v>1016</v>
      </c>
      <c r="D25" s="38" t="s">
        <v>596</v>
      </c>
      <c r="E25" s="38" t="s">
        <v>1058</v>
      </c>
      <c r="F25" s="38" t="s">
        <v>238</v>
      </c>
      <c r="G25" s="39" t="s">
        <v>3</v>
      </c>
    </row>
    <row r="26" customFormat="false" ht="28.5" hidden="false" customHeight="true" outlineLevel="0" collapsed="false">
      <c r="A26" s="37" t="s">
        <v>713</v>
      </c>
      <c r="B26" s="38" t="s">
        <v>579</v>
      </c>
      <c r="C26" s="39" t="s">
        <v>592</v>
      </c>
      <c r="D26" s="38" t="s">
        <v>596</v>
      </c>
      <c r="E26" s="38" t="s">
        <v>1059</v>
      </c>
      <c r="F26" s="38" t="s">
        <v>715</v>
      </c>
      <c r="G26" s="39" t="s">
        <v>3</v>
      </c>
    </row>
    <row r="27" customFormat="false" ht="15.75" hidden="false" customHeight="true" outlineLevel="0" collapsed="false">
      <c r="A27" s="12" t="s">
        <v>670</v>
      </c>
      <c r="B27" s="11" t="s">
        <v>579</v>
      </c>
      <c r="C27" s="9" t="s">
        <v>671</v>
      </c>
      <c r="D27" s="11" t="s">
        <v>596</v>
      </c>
      <c r="E27" s="11" t="s">
        <v>672</v>
      </c>
      <c r="F27" s="11" t="s">
        <v>571</v>
      </c>
      <c r="G27" s="9" t="s">
        <v>7</v>
      </c>
    </row>
    <row r="28" customFormat="false" ht="28.5" hidden="false" customHeight="true" outlineLevel="0" collapsed="false">
      <c r="A28" s="11" t="s">
        <v>673</v>
      </c>
      <c r="B28" s="11"/>
      <c r="C28" s="9"/>
      <c r="D28" s="11"/>
      <c r="E28" s="11" t="s">
        <v>674</v>
      </c>
      <c r="F28" s="11"/>
      <c r="G28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57</v>
      </c>
    </row>
    <row r="3" customFormat="false" ht="15.75" hidden="false" customHeight="true" outlineLevel="0" collapsed="false">
      <c r="A3" s="36" t="s">
        <v>556</v>
      </c>
      <c r="B3" s="2" t="s">
        <v>1060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1061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28.5" hidden="false" customHeight="true" outlineLevel="0" collapsed="false">
      <c r="A10" s="37" t="s">
        <v>886</v>
      </c>
      <c r="B10" s="38" t="s">
        <v>579</v>
      </c>
      <c r="C10" s="39" t="s">
        <v>1016</v>
      </c>
      <c r="D10" s="38" t="s">
        <v>1062</v>
      </c>
      <c r="E10" s="38" t="s">
        <v>1063</v>
      </c>
      <c r="F10" s="38" t="s">
        <v>238</v>
      </c>
      <c r="G10" s="39" t="s">
        <v>3</v>
      </c>
    </row>
    <row r="11" customFormat="false" ht="28.5" hidden="false" customHeight="true" outlineLevel="0" collapsed="false">
      <c r="A11" s="37" t="s">
        <v>143</v>
      </c>
      <c r="B11" s="38" t="s">
        <v>579</v>
      </c>
      <c r="C11" s="39" t="s">
        <v>592</v>
      </c>
      <c r="D11" s="38" t="s">
        <v>581</v>
      </c>
      <c r="E11" s="38" t="s">
        <v>1064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149</v>
      </c>
      <c r="B12" s="38" t="s">
        <v>567</v>
      </c>
      <c r="C12" s="39" t="s">
        <v>568</v>
      </c>
      <c r="D12" s="38" t="s">
        <v>599</v>
      </c>
      <c r="E12" s="38" t="s">
        <v>1065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670</v>
      </c>
      <c r="B13" s="38" t="s">
        <v>579</v>
      </c>
      <c r="C13" s="39" t="s">
        <v>671</v>
      </c>
      <c r="D13" s="38" t="s">
        <v>596</v>
      </c>
      <c r="E13" s="38" t="s">
        <v>672</v>
      </c>
      <c r="F13" s="38" t="s">
        <v>238</v>
      </c>
      <c r="G13" s="39" t="s">
        <v>3</v>
      </c>
    </row>
    <row r="14" customFormat="false" ht="28.5" hidden="false" customHeight="true" outlineLevel="0" collapsed="false">
      <c r="A14" s="11" t="s">
        <v>673</v>
      </c>
      <c r="B14" s="11"/>
      <c r="C14" s="9"/>
      <c r="D14" s="11"/>
      <c r="E14" s="11" t="s">
        <v>674</v>
      </c>
      <c r="F14" s="11"/>
      <c r="G14" s="9"/>
    </row>
    <row r="16" customFormat="false" ht="15" hidden="false" customHeight="false" outlineLevel="0" collapsed="false">
      <c r="A16" s="3" t="s">
        <v>675</v>
      </c>
    </row>
    <row r="17" customFormat="false" ht="15.75" hidden="false" customHeight="true" outlineLevel="0" collapsed="false">
      <c r="A17" s="2" t="s">
        <v>1066</v>
      </c>
      <c r="B17" s="2"/>
      <c r="C17" s="2"/>
      <c r="D17" s="2"/>
      <c r="E17" s="2"/>
      <c r="F17" s="2"/>
      <c r="G17" s="2"/>
    </row>
  </sheetData>
  <mergeCells count="3">
    <mergeCell ref="B3:G3"/>
    <mergeCell ref="B4:G4"/>
    <mergeCell ref="A17:G17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60</v>
      </c>
    </row>
    <row r="3" customFormat="false" ht="15.75" hidden="false" customHeight="true" outlineLevel="0" collapsed="false">
      <c r="A3" s="36" t="s">
        <v>556</v>
      </c>
      <c r="B3" s="2" t="s">
        <v>1067</v>
      </c>
      <c r="C3" s="2"/>
      <c r="D3" s="2"/>
      <c r="E3" s="2"/>
      <c r="F3" s="2"/>
      <c r="G3" s="2"/>
    </row>
    <row r="4" customFormat="false" ht="15.75" hidden="false" customHeight="true" outlineLevel="0" collapsed="false">
      <c r="A4" s="36" t="s">
        <v>558</v>
      </c>
      <c r="B4" s="2" t="s">
        <v>1068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28.5" hidden="false" customHeight="true" outlineLevel="0" collapsed="false">
      <c r="A10" s="37" t="s">
        <v>886</v>
      </c>
      <c r="B10" s="38" t="s">
        <v>579</v>
      </c>
      <c r="C10" s="39" t="s">
        <v>1016</v>
      </c>
      <c r="D10" s="38" t="s">
        <v>1062</v>
      </c>
      <c r="E10" s="38" t="s">
        <v>1069</v>
      </c>
      <c r="F10" s="38" t="s">
        <v>238</v>
      </c>
      <c r="G10" s="39" t="s">
        <v>3</v>
      </c>
    </row>
    <row r="11" customFormat="false" ht="28.5" hidden="false" customHeight="true" outlineLevel="0" collapsed="false">
      <c r="A11" s="37" t="s">
        <v>1070</v>
      </c>
      <c r="B11" s="38" t="s">
        <v>579</v>
      </c>
      <c r="C11" s="39" t="s">
        <v>585</v>
      </c>
      <c r="D11" s="38" t="s">
        <v>581</v>
      </c>
      <c r="E11" s="38" t="s">
        <v>1071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1072</v>
      </c>
      <c r="B12" s="38" t="s">
        <v>579</v>
      </c>
      <c r="C12" s="39" t="s">
        <v>580</v>
      </c>
      <c r="D12" s="38" t="s">
        <v>596</v>
      </c>
      <c r="E12" s="38" t="s">
        <v>1073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1074</v>
      </c>
      <c r="B13" s="38" t="s">
        <v>567</v>
      </c>
      <c r="C13" s="39" t="s">
        <v>568</v>
      </c>
      <c r="D13" s="38" t="s">
        <v>599</v>
      </c>
      <c r="E13" s="38" t="s">
        <v>1075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670</v>
      </c>
      <c r="B14" s="38" t="s">
        <v>579</v>
      </c>
      <c r="C14" s="39" t="s">
        <v>671</v>
      </c>
      <c r="D14" s="38" t="s">
        <v>596</v>
      </c>
      <c r="E14" s="38" t="s">
        <v>672</v>
      </c>
      <c r="F14" s="38" t="s">
        <v>238</v>
      </c>
      <c r="G14" s="39" t="s">
        <v>3</v>
      </c>
    </row>
    <row r="15" customFormat="false" ht="28.5" hidden="false" customHeight="true" outlineLevel="0" collapsed="false">
      <c r="A15" s="11" t="s">
        <v>673</v>
      </c>
      <c r="B15" s="11"/>
      <c r="C15" s="9"/>
      <c r="D15" s="11"/>
      <c r="E15" s="11" t="s">
        <v>674</v>
      </c>
      <c r="F15" s="11"/>
      <c r="G15" s="9"/>
    </row>
    <row r="17" customFormat="false" ht="15" hidden="false" customHeight="false" outlineLevel="0" collapsed="false">
      <c r="A17" s="3" t="s">
        <v>675</v>
      </c>
    </row>
    <row r="18" customFormat="false" ht="15.75" hidden="false" customHeight="true" outlineLevel="0" collapsed="false">
      <c r="A18" s="2" t="s">
        <v>1076</v>
      </c>
      <c r="B18" s="2"/>
      <c r="C18" s="2"/>
      <c r="D18" s="2"/>
      <c r="E18" s="2"/>
      <c r="F18" s="2"/>
      <c r="G18" s="2"/>
    </row>
  </sheetData>
  <mergeCells count="3">
    <mergeCell ref="B3:G3"/>
    <mergeCell ref="B4:G4"/>
    <mergeCell ref="A18:G18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62</v>
      </c>
    </row>
    <row r="3" customFormat="false" ht="15.75" hidden="false" customHeight="true" outlineLevel="0" collapsed="false">
      <c r="A3" s="36" t="s">
        <v>556</v>
      </c>
      <c r="B3" s="2" t="s">
        <v>1077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1078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1079</v>
      </c>
      <c r="B10" s="38" t="s">
        <v>579</v>
      </c>
      <c r="C10" s="39" t="s">
        <v>668</v>
      </c>
      <c r="D10" s="38" t="s">
        <v>581</v>
      </c>
      <c r="E10" s="38" t="s">
        <v>1080</v>
      </c>
      <c r="F10" s="38" t="s">
        <v>238</v>
      </c>
      <c r="G10" s="39" t="s">
        <v>3</v>
      </c>
    </row>
    <row r="11" customFormat="false" ht="15.75" hidden="false" customHeight="true" outlineLevel="0" collapsed="false">
      <c r="A11" s="37" t="s">
        <v>143</v>
      </c>
      <c r="B11" s="38" t="s">
        <v>579</v>
      </c>
      <c r="C11" s="39" t="s">
        <v>585</v>
      </c>
      <c r="D11" s="38" t="s">
        <v>581</v>
      </c>
      <c r="E11" s="38" t="s">
        <v>1081</v>
      </c>
      <c r="F11" s="38" t="s">
        <v>238</v>
      </c>
      <c r="G11" s="39" t="s">
        <v>3</v>
      </c>
    </row>
    <row r="12" customFormat="false" ht="28.5" hidden="false" customHeight="true" outlineLevel="0" collapsed="false">
      <c r="A12" s="37" t="s">
        <v>1082</v>
      </c>
      <c r="B12" s="38" t="s">
        <v>579</v>
      </c>
      <c r="C12" s="39" t="s">
        <v>580</v>
      </c>
      <c r="D12" s="38" t="s">
        <v>1083</v>
      </c>
      <c r="E12" s="38" t="s">
        <v>1084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1085</v>
      </c>
      <c r="B13" s="38" t="s">
        <v>579</v>
      </c>
      <c r="C13" s="39" t="s">
        <v>580</v>
      </c>
      <c r="D13" s="38" t="s">
        <v>581</v>
      </c>
      <c r="E13" s="38" t="s">
        <v>1086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1087</v>
      </c>
      <c r="B14" s="38" t="s">
        <v>567</v>
      </c>
      <c r="C14" s="39" t="s">
        <v>568</v>
      </c>
      <c r="D14" s="38" t="s">
        <v>599</v>
      </c>
      <c r="E14" s="38" t="s">
        <v>1088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1089</v>
      </c>
      <c r="B15" s="38" t="s">
        <v>614</v>
      </c>
      <c r="C15" s="39" t="s">
        <v>1090</v>
      </c>
      <c r="D15" s="38" t="s">
        <v>596</v>
      </c>
      <c r="E15" s="38" t="s">
        <v>1091</v>
      </c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1092</v>
      </c>
      <c r="B16" s="38" t="s">
        <v>614</v>
      </c>
      <c r="C16" s="39" t="s">
        <v>1090</v>
      </c>
      <c r="D16" s="38" t="s">
        <v>596</v>
      </c>
      <c r="E16" s="38" t="s">
        <v>1093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1094</v>
      </c>
      <c r="B17" s="38" t="s">
        <v>614</v>
      </c>
      <c r="C17" s="39" t="s">
        <v>769</v>
      </c>
      <c r="D17" s="38" t="s">
        <v>596</v>
      </c>
      <c r="E17" s="38" t="s">
        <v>1095</v>
      </c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670</v>
      </c>
      <c r="B18" s="38" t="s">
        <v>579</v>
      </c>
      <c r="C18" s="39" t="s">
        <v>671</v>
      </c>
      <c r="D18" s="38" t="s">
        <v>596</v>
      </c>
      <c r="E18" s="38" t="s">
        <v>672</v>
      </c>
      <c r="F18" s="38" t="s">
        <v>238</v>
      </c>
      <c r="G18" s="39" t="s">
        <v>3</v>
      </c>
    </row>
    <row r="19" customFormat="false" ht="28.5" hidden="false" customHeight="true" outlineLevel="0" collapsed="false">
      <c r="A19" s="11" t="s">
        <v>673</v>
      </c>
      <c r="B19" s="11"/>
      <c r="C19" s="9"/>
      <c r="D19" s="11"/>
      <c r="E19" s="11" t="s">
        <v>674</v>
      </c>
      <c r="F19" s="11"/>
      <c r="G19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64</v>
      </c>
    </row>
    <row r="3" customFormat="false" ht="15.75" hidden="false" customHeight="true" outlineLevel="0" collapsed="false">
      <c r="A3" s="36" t="s">
        <v>556</v>
      </c>
      <c r="B3" s="2" t="s">
        <v>1096</v>
      </c>
      <c r="C3" s="2"/>
      <c r="D3" s="2"/>
      <c r="E3" s="2"/>
      <c r="F3" s="2"/>
      <c r="G3" s="2"/>
    </row>
    <row r="4" customFormat="false" ht="15.75" hidden="false" customHeight="true" outlineLevel="0" collapsed="false">
      <c r="A4" s="36" t="s">
        <v>558</v>
      </c>
      <c r="B4" s="2" t="s">
        <v>1097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921</v>
      </c>
      <c r="B10" s="38" t="s">
        <v>579</v>
      </c>
      <c r="C10" s="39" t="s">
        <v>889</v>
      </c>
      <c r="D10" s="38" t="s">
        <v>581</v>
      </c>
      <c r="E10" s="38" t="s">
        <v>1098</v>
      </c>
      <c r="F10" s="38" t="s">
        <v>238</v>
      </c>
      <c r="G10" s="39" t="s">
        <v>3</v>
      </c>
    </row>
    <row r="11" customFormat="false" ht="28.5" hidden="false" customHeight="true" outlineLevel="0" collapsed="false">
      <c r="A11" s="37" t="s">
        <v>924</v>
      </c>
      <c r="B11" s="38" t="s">
        <v>579</v>
      </c>
      <c r="C11" s="39" t="s">
        <v>925</v>
      </c>
      <c r="D11" s="38" t="s">
        <v>926</v>
      </c>
      <c r="E11" s="38" t="s">
        <v>1099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1100</v>
      </c>
      <c r="B12" s="38" t="s">
        <v>579</v>
      </c>
      <c r="C12" s="39" t="s">
        <v>585</v>
      </c>
      <c r="D12" s="38" t="s">
        <v>596</v>
      </c>
      <c r="E12" s="38" t="s">
        <v>1101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888</v>
      </c>
      <c r="B13" s="38" t="s">
        <v>579</v>
      </c>
      <c r="C13" s="39" t="s">
        <v>889</v>
      </c>
      <c r="D13" s="38" t="s">
        <v>596</v>
      </c>
      <c r="E13" s="38" t="s">
        <v>1102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931</v>
      </c>
      <c r="B14" s="38" t="s">
        <v>579</v>
      </c>
      <c r="C14" s="39" t="s">
        <v>733</v>
      </c>
      <c r="D14" s="38" t="s">
        <v>596</v>
      </c>
      <c r="E14" s="38"/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895</v>
      </c>
      <c r="B15" s="38" t="s">
        <v>579</v>
      </c>
      <c r="C15" s="39" t="s">
        <v>733</v>
      </c>
      <c r="D15" s="38" t="s">
        <v>596</v>
      </c>
      <c r="E15" s="38"/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898</v>
      </c>
      <c r="B16" s="38" t="s">
        <v>579</v>
      </c>
      <c r="C16" s="39" t="s">
        <v>899</v>
      </c>
      <c r="D16" s="38" t="s">
        <v>596</v>
      </c>
      <c r="E16" s="38"/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901</v>
      </c>
      <c r="B17" s="38" t="s">
        <v>579</v>
      </c>
      <c r="C17" s="39" t="s">
        <v>902</v>
      </c>
      <c r="D17" s="38" t="s">
        <v>596</v>
      </c>
      <c r="E17" s="38"/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940</v>
      </c>
      <c r="B18" s="38" t="s">
        <v>579</v>
      </c>
      <c r="C18" s="39" t="s">
        <v>585</v>
      </c>
      <c r="D18" s="38" t="s">
        <v>596</v>
      </c>
      <c r="E18" s="38"/>
      <c r="F18" s="38" t="s">
        <v>238</v>
      </c>
      <c r="G18" s="39" t="s">
        <v>3</v>
      </c>
    </row>
    <row r="19" customFormat="false" ht="15.75" hidden="false" customHeight="true" outlineLevel="0" collapsed="false">
      <c r="A19" s="37" t="s">
        <v>943</v>
      </c>
      <c r="B19" s="38" t="s">
        <v>579</v>
      </c>
      <c r="C19" s="39" t="s">
        <v>668</v>
      </c>
      <c r="D19" s="38" t="s">
        <v>596</v>
      </c>
      <c r="E19" s="38"/>
      <c r="F19" s="38" t="s">
        <v>238</v>
      </c>
      <c r="G19" s="39" t="s">
        <v>3</v>
      </c>
    </row>
    <row r="20" customFormat="false" ht="15.75" hidden="false" customHeight="true" outlineLevel="0" collapsed="false">
      <c r="A20" s="37" t="s">
        <v>670</v>
      </c>
      <c r="B20" s="38" t="s">
        <v>579</v>
      </c>
      <c r="C20" s="39" t="s">
        <v>671</v>
      </c>
      <c r="D20" s="38" t="s">
        <v>596</v>
      </c>
      <c r="E20" s="38" t="s">
        <v>672</v>
      </c>
      <c r="F20" s="38" t="s">
        <v>238</v>
      </c>
      <c r="G20" s="39" t="s">
        <v>3</v>
      </c>
    </row>
    <row r="21" customFormat="false" ht="28.5" hidden="false" customHeight="true" outlineLevel="0" collapsed="false">
      <c r="A21" s="11" t="s">
        <v>673</v>
      </c>
      <c r="B21" s="11"/>
      <c r="C21" s="9"/>
      <c r="D21" s="11"/>
      <c r="E21" s="11" t="s">
        <v>674</v>
      </c>
      <c r="F21" s="11"/>
      <c r="G21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66</v>
      </c>
    </row>
    <row r="3" customFormat="false" ht="15.75" hidden="false" customHeight="true" outlineLevel="0" collapsed="false">
      <c r="A3" s="36" t="s">
        <v>556</v>
      </c>
      <c r="B3" s="2" t="s">
        <v>1103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1104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149</v>
      </c>
      <c r="B10" s="38" t="s">
        <v>567</v>
      </c>
      <c r="C10" s="39" t="s">
        <v>568</v>
      </c>
      <c r="D10" s="38" t="s">
        <v>573</v>
      </c>
      <c r="E10" s="38" t="s">
        <v>1105</v>
      </c>
      <c r="F10" s="38" t="s">
        <v>238</v>
      </c>
      <c r="G10" s="39" t="s">
        <v>3</v>
      </c>
    </row>
    <row r="11" customFormat="false" ht="15.75" hidden="false" customHeight="true" outlineLevel="0" collapsed="false">
      <c r="A11" s="37" t="s">
        <v>212</v>
      </c>
      <c r="B11" s="38" t="s">
        <v>567</v>
      </c>
      <c r="C11" s="39" t="s">
        <v>568</v>
      </c>
      <c r="D11" s="38" t="s">
        <v>599</v>
      </c>
      <c r="E11" s="38" t="s">
        <v>1106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1107</v>
      </c>
      <c r="B12" s="38" t="s">
        <v>182</v>
      </c>
      <c r="C12" s="39" t="s">
        <v>568</v>
      </c>
      <c r="D12" s="38" t="s">
        <v>581</v>
      </c>
      <c r="E12" s="38" t="s">
        <v>1108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957</v>
      </c>
      <c r="B13" s="38" t="s">
        <v>567</v>
      </c>
      <c r="C13" s="39" t="s">
        <v>568</v>
      </c>
      <c r="D13" s="38" t="s">
        <v>596</v>
      </c>
      <c r="E13" s="38" t="s">
        <v>1109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1110</v>
      </c>
      <c r="B14" s="38" t="s">
        <v>614</v>
      </c>
      <c r="C14" s="39" t="s">
        <v>661</v>
      </c>
      <c r="D14" s="38" t="s">
        <v>581</v>
      </c>
      <c r="E14" s="38" t="s">
        <v>1111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1112</v>
      </c>
      <c r="B15" s="38" t="s">
        <v>614</v>
      </c>
      <c r="C15" s="39" t="s">
        <v>761</v>
      </c>
      <c r="D15" s="38" t="s">
        <v>596</v>
      </c>
      <c r="E15" s="38" t="s">
        <v>1113</v>
      </c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1114</v>
      </c>
      <c r="B16" s="38" t="s">
        <v>614</v>
      </c>
      <c r="C16" s="39" t="s">
        <v>621</v>
      </c>
      <c r="D16" s="38" t="s">
        <v>596</v>
      </c>
      <c r="E16" s="38" t="s">
        <v>1115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670</v>
      </c>
      <c r="B17" s="38" t="s">
        <v>579</v>
      </c>
      <c r="C17" s="39" t="s">
        <v>671</v>
      </c>
      <c r="D17" s="38" t="s">
        <v>596</v>
      </c>
      <c r="E17" s="38" t="s">
        <v>672</v>
      </c>
      <c r="F17" s="38" t="s">
        <v>238</v>
      </c>
      <c r="G17" s="39" t="s">
        <v>3</v>
      </c>
    </row>
    <row r="18" customFormat="false" ht="28.5" hidden="false" customHeight="true" outlineLevel="0" collapsed="false">
      <c r="A18" s="11" t="s">
        <v>673</v>
      </c>
      <c r="B18" s="11"/>
      <c r="C18" s="9"/>
      <c r="D18" s="11"/>
      <c r="E18" s="11" t="s">
        <v>674</v>
      </c>
      <c r="F18" s="11"/>
      <c r="G18" s="9"/>
    </row>
    <row r="20" customFormat="false" ht="15" hidden="false" customHeight="false" outlineLevel="0" collapsed="false">
      <c r="A20" s="3" t="s">
        <v>675</v>
      </c>
    </row>
    <row r="21" customFormat="false" ht="15.75" hidden="false" customHeight="true" outlineLevel="0" collapsed="false">
      <c r="A21" s="2" t="s">
        <v>1116</v>
      </c>
      <c r="B21" s="2"/>
      <c r="C21" s="2"/>
      <c r="D21" s="2"/>
      <c r="E21" s="2"/>
      <c r="F21" s="2"/>
      <c r="G21" s="2"/>
    </row>
    <row r="22" customFormat="false" ht="15.75" hidden="false" customHeight="true" outlineLevel="0" collapsed="false">
      <c r="A22" s="2" t="s">
        <v>1117</v>
      </c>
      <c r="B22" s="2"/>
      <c r="C22" s="2"/>
      <c r="D22" s="2"/>
      <c r="E22" s="2"/>
      <c r="F22" s="2"/>
      <c r="G22" s="2"/>
    </row>
  </sheetData>
  <mergeCells count="4">
    <mergeCell ref="B3:G3"/>
    <mergeCell ref="B4:G4"/>
    <mergeCell ref="A21:G21"/>
    <mergeCell ref="A22:G22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68</v>
      </c>
    </row>
    <row r="3" customFormat="false" ht="15.75" hidden="false" customHeight="true" outlineLevel="0" collapsed="false">
      <c r="A3" s="36" t="s">
        <v>556</v>
      </c>
      <c r="B3" s="2" t="s">
        <v>1118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1119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1120</v>
      </c>
      <c r="B10" s="38" t="s">
        <v>182</v>
      </c>
      <c r="C10" s="39" t="s">
        <v>568</v>
      </c>
      <c r="D10" s="38" t="s">
        <v>581</v>
      </c>
      <c r="E10" s="38" t="s">
        <v>1121</v>
      </c>
      <c r="F10" s="38" t="s">
        <v>238</v>
      </c>
      <c r="G10" s="39" t="s">
        <v>3</v>
      </c>
    </row>
    <row r="11" customFormat="false" ht="15.75" hidden="false" customHeight="true" outlineLevel="0" collapsed="false">
      <c r="A11" s="37" t="s">
        <v>1122</v>
      </c>
      <c r="B11" s="38" t="s">
        <v>182</v>
      </c>
      <c r="C11" s="39" t="s">
        <v>568</v>
      </c>
      <c r="D11" s="38" t="s">
        <v>581</v>
      </c>
      <c r="E11" s="38" t="s">
        <v>1123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1087</v>
      </c>
      <c r="B12" s="38" t="s">
        <v>567</v>
      </c>
      <c r="C12" s="39" t="s">
        <v>568</v>
      </c>
      <c r="D12" s="38" t="s">
        <v>573</v>
      </c>
      <c r="E12" s="38" t="s">
        <v>1124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1125</v>
      </c>
      <c r="B13" s="38" t="s">
        <v>567</v>
      </c>
      <c r="C13" s="39" t="s">
        <v>568</v>
      </c>
      <c r="D13" s="38" t="s">
        <v>573</v>
      </c>
      <c r="E13" s="38" t="s">
        <v>1126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179</v>
      </c>
      <c r="B14" s="38" t="s">
        <v>567</v>
      </c>
      <c r="C14" s="39" t="s">
        <v>568</v>
      </c>
      <c r="D14" s="38" t="s">
        <v>599</v>
      </c>
      <c r="E14" s="38" t="s">
        <v>1127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1006</v>
      </c>
      <c r="B15" s="38" t="s">
        <v>567</v>
      </c>
      <c r="C15" s="39" t="s">
        <v>568</v>
      </c>
      <c r="D15" s="38" t="s">
        <v>599</v>
      </c>
      <c r="E15" s="38" t="s">
        <v>1128</v>
      </c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1079</v>
      </c>
      <c r="B16" s="38" t="s">
        <v>579</v>
      </c>
      <c r="C16" s="39" t="s">
        <v>889</v>
      </c>
      <c r="D16" s="38" t="s">
        <v>581</v>
      </c>
      <c r="E16" s="38" t="s">
        <v>1129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1130</v>
      </c>
      <c r="B17" s="38" t="s">
        <v>614</v>
      </c>
      <c r="C17" s="39" t="s">
        <v>761</v>
      </c>
      <c r="D17" s="38" t="s">
        <v>596</v>
      </c>
      <c r="E17" s="38" t="s">
        <v>1131</v>
      </c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1132</v>
      </c>
      <c r="B18" s="38" t="s">
        <v>579</v>
      </c>
      <c r="C18" s="39" t="s">
        <v>580</v>
      </c>
      <c r="D18" s="38" t="s">
        <v>596</v>
      </c>
      <c r="E18" s="38" t="s">
        <v>1133</v>
      </c>
      <c r="F18" s="38" t="s">
        <v>238</v>
      </c>
      <c r="G18" s="39" t="s">
        <v>3</v>
      </c>
    </row>
    <row r="19" customFormat="false" ht="15.75" hidden="false" customHeight="true" outlineLevel="0" collapsed="false">
      <c r="A19" s="37" t="s">
        <v>1134</v>
      </c>
      <c r="B19" s="38" t="s">
        <v>614</v>
      </c>
      <c r="C19" s="39" t="s">
        <v>625</v>
      </c>
      <c r="D19" s="38" t="s">
        <v>596</v>
      </c>
      <c r="E19" s="38" t="s">
        <v>1135</v>
      </c>
      <c r="F19" s="38" t="s">
        <v>238</v>
      </c>
      <c r="G19" s="39" t="s">
        <v>3</v>
      </c>
    </row>
    <row r="20" customFormat="false" ht="28.5" hidden="false" customHeight="true" outlineLevel="0" collapsed="false">
      <c r="A20" s="37" t="s">
        <v>1030</v>
      </c>
      <c r="B20" s="38" t="s">
        <v>614</v>
      </c>
      <c r="C20" s="39" t="s">
        <v>661</v>
      </c>
      <c r="D20" s="38" t="s">
        <v>581</v>
      </c>
      <c r="E20" s="38" t="s">
        <v>1136</v>
      </c>
      <c r="F20" s="38" t="s">
        <v>238</v>
      </c>
      <c r="G20" s="39" t="s">
        <v>3</v>
      </c>
    </row>
    <row r="21" customFormat="false" ht="15.75" hidden="false" customHeight="true" outlineLevel="0" collapsed="false">
      <c r="A21" s="37" t="s">
        <v>1018</v>
      </c>
      <c r="B21" s="38" t="s">
        <v>579</v>
      </c>
      <c r="C21" s="39" t="s">
        <v>592</v>
      </c>
      <c r="D21" s="38" t="s">
        <v>596</v>
      </c>
      <c r="E21" s="38" t="s">
        <v>1137</v>
      </c>
      <c r="F21" s="38" t="s">
        <v>238</v>
      </c>
      <c r="G21" s="39" t="s">
        <v>3</v>
      </c>
    </row>
    <row r="22" customFormat="false" ht="15.75" hidden="false" customHeight="true" outlineLevel="0" collapsed="false">
      <c r="A22" s="37" t="s">
        <v>1138</v>
      </c>
      <c r="B22" s="38" t="s">
        <v>182</v>
      </c>
      <c r="C22" s="39" t="s">
        <v>568</v>
      </c>
      <c r="D22" s="38" t="s">
        <v>596</v>
      </c>
      <c r="E22" s="38" t="s">
        <v>1139</v>
      </c>
      <c r="F22" s="38" t="s">
        <v>238</v>
      </c>
      <c r="G22" s="39" t="s">
        <v>3</v>
      </c>
    </row>
    <row r="23" customFormat="false" ht="15.75" hidden="false" customHeight="true" outlineLevel="0" collapsed="false">
      <c r="A23" s="37" t="s">
        <v>1140</v>
      </c>
      <c r="B23" s="38" t="s">
        <v>636</v>
      </c>
      <c r="C23" s="39" t="s">
        <v>568</v>
      </c>
      <c r="D23" s="38" t="s">
        <v>910</v>
      </c>
      <c r="E23" s="38" t="s">
        <v>1141</v>
      </c>
      <c r="F23" s="38" t="s">
        <v>238</v>
      </c>
      <c r="G23" s="39" t="s">
        <v>3</v>
      </c>
    </row>
    <row r="24" customFormat="false" ht="15.75" hidden="false" customHeight="true" outlineLevel="0" collapsed="false">
      <c r="A24" s="37" t="s">
        <v>670</v>
      </c>
      <c r="B24" s="38" t="s">
        <v>579</v>
      </c>
      <c r="C24" s="39" t="s">
        <v>671</v>
      </c>
      <c r="D24" s="38" t="s">
        <v>596</v>
      </c>
      <c r="E24" s="38" t="s">
        <v>672</v>
      </c>
      <c r="F24" s="38" t="s">
        <v>238</v>
      </c>
      <c r="G24" s="39" t="s">
        <v>3</v>
      </c>
    </row>
    <row r="25" customFormat="false" ht="28.5" hidden="false" customHeight="true" outlineLevel="0" collapsed="false">
      <c r="A25" s="11" t="s">
        <v>673</v>
      </c>
      <c r="B25" s="11"/>
      <c r="C25" s="9"/>
      <c r="D25" s="11"/>
      <c r="E25" s="11" t="s">
        <v>674</v>
      </c>
      <c r="F25" s="11"/>
      <c r="G25" s="9"/>
    </row>
    <row r="27" customFormat="false" ht="15" hidden="false" customHeight="false" outlineLevel="0" collapsed="false">
      <c r="A27" s="3" t="s">
        <v>675</v>
      </c>
    </row>
    <row r="28" customFormat="false" ht="15.75" hidden="false" customHeight="true" outlineLevel="0" collapsed="false">
      <c r="A28" s="2" t="s">
        <v>1142</v>
      </c>
      <c r="B28" s="2"/>
      <c r="C28" s="2"/>
      <c r="D28" s="2"/>
      <c r="E28" s="2"/>
      <c r="F28" s="2"/>
      <c r="G28" s="2"/>
    </row>
    <row r="29" customFormat="false" ht="15.75" hidden="false" customHeight="true" outlineLevel="0" collapsed="false">
      <c r="A29" s="2" t="s">
        <v>1143</v>
      </c>
      <c r="B29" s="2"/>
      <c r="C29" s="2"/>
      <c r="D29" s="2"/>
      <c r="E29" s="2"/>
      <c r="F29" s="2"/>
      <c r="G29" s="2"/>
    </row>
    <row r="30" customFormat="false" ht="15.75" hidden="false" customHeight="true" outlineLevel="0" collapsed="false">
      <c r="A30" s="2" t="s">
        <v>1144</v>
      </c>
      <c r="B30" s="2"/>
      <c r="C30" s="2"/>
      <c r="D30" s="2"/>
      <c r="E30" s="2"/>
      <c r="F30" s="2"/>
      <c r="G30" s="2"/>
    </row>
    <row r="31" customFormat="false" ht="15.75" hidden="false" customHeight="true" outlineLevel="0" collapsed="false">
      <c r="A31" s="2" t="s">
        <v>1145</v>
      </c>
      <c r="B31" s="2"/>
      <c r="C31" s="2"/>
      <c r="D31" s="2"/>
      <c r="E31" s="2"/>
      <c r="F31" s="2"/>
      <c r="G31" s="2"/>
    </row>
  </sheetData>
  <mergeCells count="6">
    <mergeCell ref="B3:G3"/>
    <mergeCell ref="B4:G4"/>
    <mergeCell ref="A28:G28"/>
    <mergeCell ref="A29:G29"/>
    <mergeCell ref="A30:G30"/>
    <mergeCell ref="A31:G31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70</v>
      </c>
    </row>
    <row r="3" customFormat="false" ht="15.75" hidden="false" customHeight="true" outlineLevel="0" collapsed="false">
      <c r="A3" s="36" t="s">
        <v>556</v>
      </c>
      <c r="B3" s="2" t="s">
        <v>1146</v>
      </c>
      <c r="C3" s="2"/>
      <c r="D3" s="2"/>
      <c r="E3" s="2"/>
      <c r="F3" s="2"/>
      <c r="G3" s="2"/>
    </row>
    <row r="4" customFormat="false" ht="15.75" hidden="false" customHeight="true" outlineLevel="0" collapsed="false">
      <c r="A4" s="36" t="s">
        <v>558</v>
      </c>
      <c r="B4" s="2" t="s">
        <v>1147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1148</v>
      </c>
      <c r="B10" s="38" t="s">
        <v>567</v>
      </c>
      <c r="C10" s="39" t="s">
        <v>568</v>
      </c>
      <c r="D10" s="38" t="s">
        <v>573</v>
      </c>
      <c r="E10" s="38" t="s">
        <v>1149</v>
      </c>
      <c r="F10" s="38" t="s">
        <v>238</v>
      </c>
      <c r="G10" s="39" t="s">
        <v>3</v>
      </c>
    </row>
    <row r="11" customFormat="false" ht="28.5" hidden="false" customHeight="true" outlineLevel="0" collapsed="false">
      <c r="A11" s="37" t="s">
        <v>1087</v>
      </c>
      <c r="B11" s="38" t="s">
        <v>567</v>
      </c>
      <c r="C11" s="39" t="s">
        <v>568</v>
      </c>
      <c r="D11" s="38" t="s">
        <v>1150</v>
      </c>
      <c r="E11" s="38" t="s">
        <v>1151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1152</v>
      </c>
      <c r="B12" s="38" t="s">
        <v>614</v>
      </c>
      <c r="C12" s="39" t="s">
        <v>1153</v>
      </c>
      <c r="D12" s="38" t="s">
        <v>581</v>
      </c>
      <c r="E12" s="38" t="s">
        <v>1154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1155</v>
      </c>
      <c r="B13" s="38" t="s">
        <v>614</v>
      </c>
      <c r="C13" s="39" t="s">
        <v>661</v>
      </c>
      <c r="D13" s="38" t="s">
        <v>581</v>
      </c>
      <c r="E13" s="38" t="s">
        <v>1156</v>
      </c>
      <c r="F13" s="38" t="s">
        <v>238</v>
      </c>
      <c r="G13" s="39" t="s">
        <v>3</v>
      </c>
    </row>
    <row r="14" customFormat="false" ht="28.5" hidden="false" customHeight="true" outlineLevel="0" collapsed="false">
      <c r="A14" s="11" t="s">
        <v>673</v>
      </c>
      <c r="B14" s="11"/>
      <c r="C14" s="9"/>
      <c r="D14" s="11"/>
      <c r="E14" s="11" t="s">
        <v>674</v>
      </c>
      <c r="F14" s="11"/>
      <c r="G14" s="9"/>
    </row>
    <row r="16" customFormat="false" ht="15" hidden="false" customHeight="false" outlineLevel="0" collapsed="false">
      <c r="A16" s="3" t="s">
        <v>675</v>
      </c>
    </row>
    <row r="17" customFormat="false" ht="15.75" hidden="false" customHeight="true" outlineLevel="0" collapsed="false">
      <c r="A17" s="2" t="s">
        <v>1157</v>
      </c>
      <c r="B17" s="2"/>
      <c r="C17" s="2"/>
      <c r="D17" s="2"/>
      <c r="E17" s="2"/>
      <c r="F17" s="2"/>
      <c r="G17" s="2"/>
    </row>
  </sheetData>
  <mergeCells count="3">
    <mergeCell ref="B3:G3"/>
    <mergeCell ref="B4:G4"/>
    <mergeCell ref="A17:G17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72</v>
      </c>
    </row>
    <row r="3" customFormat="false" ht="15.75" hidden="false" customHeight="true" outlineLevel="0" collapsed="false">
      <c r="A3" s="36" t="s">
        <v>556</v>
      </c>
      <c r="B3" s="2" t="s">
        <v>1158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1159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149</v>
      </c>
      <c r="B10" s="38" t="s">
        <v>567</v>
      </c>
      <c r="C10" s="39" t="s">
        <v>568</v>
      </c>
      <c r="D10" s="38" t="s">
        <v>573</v>
      </c>
      <c r="E10" s="38" t="s">
        <v>1160</v>
      </c>
      <c r="F10" s="38" t="s">
        <v>238</v>
      </c>
      <c r="G10" s="39" t="s">
        <v>3</v>
      </c>
    </row>
    <row r="11" customFormat="false" ht="15.75" hidden="false" customHeight="true" outlineLevel="0" collapsed="false">
      <c r="A11" s="37" t="s">
        <v>1161</v>
      </c>
      <c r="B11" s="38" t="s">
        <v>567</v>
      </c>
      <c r="C11" s="39" t="s">
        <v>568</v>
      </c>
      <c r="D11" s="38" t="s">
        <v>573</v>
      </c>
      <c r="E11" s="38" t="s">
        <v>1162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212</v>
      </c>
      <c r="B12" s="38" t="s">
        <v>567</v>
      </c>
      <c r="C12" s="39" t="s">
        <v>568</v>
      </c>
      <c r="D12" s="38" t="s">
        <v>599</v>
      </c>
      <c r="E12" s="38" t="s">
        <v>1163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1164</v>
      </c>
      <c r="B13" s="38" t="s">
        <v>579</v>
      </c>
      <c r="C13" s="39" t="s">
        <v>589</v>
      </c>
      <c r="D13" s="38" t="s">
        <v>581</v>
      </c>
      <c r="E13" s="38" t="s">
        <v>1165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1166</v>
      </c>
      <c r="B14" s="38" t="s">
        <v>579</v>
      </c>
      <c r="C14" s="39" t="s">
        <v>1167</v>
      </c>
      <c r="D14" s="38" t="s">
        <v>596</v>
      </c>
      <c r="E14" s="38" t="s">
        <v>1168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1169</v>
      </c>
      <c r="B15" s="38" t="s">
        <v>579</v>
      </c>
      <c r="C15" s="39" t="s">
        <v>1170</v>
      </c>
      <c r="D15" s="38" t="s">
        <v>1171</v>
      </c>
      <c r="E15" s="38" t="s">
        <v>1172</v>
      </c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1173</v>
      </c>
      <c r="B16" s="38" t="s">
        <v>182</v>
      </c>
      <c r="C16" s="39" t="s">
        <v>568</v>
      </c>
      <c r="D16" s="38" t="s">
        <v>581</v>
      </c>
      <c r="E16" s="38" t="s">
        <v>1174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1175</v>
      </c>
      <c r="B17" s="38" t="s">
        <v>614</v>
      </c>
      <c r="C17" s="39" t="s">
        <v>766</v>
      </c>
      <c r="D17" s="38" t="s">
        <v>596</v>
      </c>
      <c r="E17" s="38" t="s">
        <v>1176</v>
      </c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1177</v>
      </c>
      <c r="B18" s="38" t="s">
        <v>182</v>
      </c>
      <c r="C18" s="39" t="s">
        <v>568</v>
      </c>
      <c r="D18" s="38" t="s">
        <v>581</v>
      </c>
      <c r="E18" s="38" t="s">
        <v>1178</v>
      </c>
      <c r="F18" s="38" t="s">
        <v>238</v>
      </c>
      <c r="G18" s="39" t="s">
        <v>3</v>
      </c>
    </row>
    <row r="19" customFormat="false" ht="15.75" hidden="false" customHeight="true" outlineLevel="0" collapsed="false">
      <c r="A19" s="37" t="s">
        <v>1179</v>
      </c>
      <c r="B19" s="38" t="s">
        <v>614</v>
      </c>
      <c r="C19" s="39" t="s">
        <v>661</v>
      </c>
      <c r="D19" s="38" t="s">
        <v>581</v>
      </c>
      <c r="E19" s="38" t="s">
        <v>1180</v>
      </c>
      <c r="F19" s="38" t="s">
        <v>238</v>
      </c>
      <c r="G19" s="39" t="s">
        <v>3</v>
      </c>
    </row>
    <row r="20" customFormat="false" ht="15.75" hidden="false" customHeight="true" outlineLevel="0" collapsed="false">
      <c r="A20" s="37" t="s">
        <v>1001</v>
      </c>
      <c r="B20" s="38" t="s">
        <v>579</v>
      </c>
      <c r="C20" s="39" t="s">
        <v>589</v>
      </c>
      <c r="D20" s="38" t="s">
        <v>581</v>
      </c>
      <c r="E20" s="38" t="s">
        <v>1002</v>
      </c>
      <c r="F20" s="38" t="s">
        <v>238</v>
      </c>
      <c r="G20" s="39" t="s">
        <v>3</v>
      </c>
    </row>
    <row r="21" customFormat="false" ht="15.75" hidden="false" customHeight="true" outlineLevel="0" collapsed="false">
      <c r="A21" s="37" t="s">
        <v>179</v>
      </c>
      <c r="B21" s="38" t="s">
        <v>567</v>
      </c>
      <c r="C21" s="39" t="s">
        <v>568</v>
      </c>
      <c r="D21" s="38" t="s">
        <v>599</v>
      </c>
      <c r="E21" s="38" t="s">
        <v>1181</v>
      </c>
      <c r="F21" s="38" t="s">
        <v>238</v>
      </c>
      <c r="G21" s="39" t="s">
        <v>3</v>
      </c>
    </row>
    <row r="22" customFormat="false" ht="15.75" hidden="false" customHeight="true" outlineLevel="0" collapsed="false">
      <c r="A22" s="37" t="s">
        <v>1006</v>
      </c>
      <c r="B22" s="38" t="s">
        <v>567</v>
      </c>
      <c r="C22" s="39" t="s">
        <v>568</v>
      </c>
      <c r="D22" s="38" t="s">
        <v>599</v>
      </c>
      <c r="E22" s="38" t="s">
        <v>1182</v>
      </c>
      <c r="F22" s="38" t="s">
        <v>238</v>
      </c>
      <c r="G22" s="39" t="s">
        <v>3</v>
      </c>
    </row>
    <row r="23" customFormat="false" ht="15.75" hidden="false" customHeight="true" outlineLevel="0" collapsed="false">
      <c r="A23" s="37" t="s">
        <v>1008</v>
      </c>
      <c r="B23" s="38" t="s">
        <v>579</v>
      </c>
      <c r="C23" s="39" t="s">
        <v>580</v>
      </c>
      <c r="D23" s="38" t="s">
        <v>596</v>
      </c>
      <c r="E23" s="38" t="s">
        <v>1183</v>
      </c>
      <c r="F23" s="38" t="s">
        <v>238</v>
      </c>
      <c r="G23" s="39" t="s">
        <v>3</v>
      </c>
    </row>
    <row r="24" customFormat="false" ht="15.75" hidden="false" customHeight="true" outlineLevel="0" collapsed="false">
      <c r="A24" s="37" t="s">
        <v>1015</v>
      </c>
      <c r="B24" s="38" t="s">
        <v>579</v>
      </c>
      <c r="C24" s="39" t="s">
        <v>1016</v>
      </c>
      <c r="D24" s="38" t="s">
        <v>596</v>
      </c>
      <c r="E24" s="38" t="s">
        <v>1184</v>
      </c>
      <c r="F24" s="38" t="s">
        <v>238</v>
      </c>
      <c r="G24" s="39" t="s">
        <v>3</v>
      </c>
    </row>
    <row r="25" customFormat="false" ht="15.75" hidden="false" customHeight="true" outlineLevel="0" collapsed="false">
      <c r="A25" s="37" t="s">
        <v>1010</v>
      </c>
      <c r="B25" s="38" t="s">
        <v>614</v>
      </c>
      <c r="C25" s="39" t="s">
        <v>1011</v>
      </c>
      <c r="D25" s="38" t="s">
        <v>596</v>
      </c>
      <c r="E25" s="38" t="s">
        <v>1185</v>
      </c>
      <c r="F25" s="38" t="s">
        <v>238</v>
      </c>
      <c r="G25" s="39" t="s">
        <v>3</v>
      </c>
    </row>
    <row r="26" customFormat="false" ht="28.5" hidden="false" customHeight="true" outlineLevel="0" collapsed="false">
      <c r="A26" s="37" t="s">
        <v>649</v>
      </c>
      <c r="B26" s="38" t="s">
        <v>579</v>
      </c>
      <c r="C26" s="39" t="s">
        <v>589</v>
      </c>
      <c r="D26" s="38" t="s">
        <v>1186</v>
      </c>
      <c r="E26" s="38" t="s">
        <v>1187</v>
      </c>
      <c r="F26" s="38" t="s">
        <v>238</v>
      </c>
      <c r="G26" s="39" t="s">
        <v>3</v>
      </c>
    </row>
    <row r="27" customFormat="false" ht="15.75" hidden="false" customHeight="true" outlineLevel="0" collapsed="false">
      <c r="A27" s="37" t="s">
        <v>1188</v>
      </c>
      <c r="B27" s="38" t="s">
        <v>182</v>
      </c>
      <c r="C27" s="39" t="s">
        <v>568</v>
      </c>
      <c r="D27" s="38" t="s">
        <v>596</v>
      </c>
      <c r="E27" s="38" t="s">
        <v>1189</v>
      </c>
      <c r="F27" s="38" t="s">
        <v>238</v>
      </c>
      <c r="G27" s="39" t="s">
        <v>3</v>
      </c>
    </row>
    <row r="28" customFormat="false" ht="15.75" hidden="false" customHeight="true" outlineLevel="0" collapsed="false">
      <c r="A28" s="37" t="s">
        <v>1190</v>
      </c>
      <c r="B28" s="38" t="s">
        <v>579</v>
      </c>
      <c r="C28" s="39" t="s">
        <v>592</v>
      </c>
      <c r="D28" s="38" t="s">
        <v>596</v>
      </c>
      <c r="E28" s="38" t="s">
        <v>1191</v>
      </c>
      <c r="F28" s="38" t="s">
        <v>238</v>
      </c>
      <c r="G28" s="39" t="s">
        <v>3</v>
      </c>
    </row>
    <row r="29" customFormat="false" ht="15.75" hidden="false" customHeight="true" outlineLevel="0" collapsed="false">
      <c r="A29" s="37" t="s">
        <v>1192</v>
      </c>
      <c r="B29" s="38" t="s">
        <v>614</v>
      </c>
      <c r="C29" s="39" t="s">
        <v>661</v>
      </c>
      <c r="D29" s="38" t="s">
        <v>596</v>
      </c>
      <c r="E29" s="38" t="s">
        <v>1193</v>
      </c>
      <c r="F29" s="38" t="s">
        <v>238</v>
      </c>
      <c r="G29" s="39" t="s">
        <v>3</v>
      </c>
    </row>
    <row r="30" customFormat="false" ht="15.75" hidden="false" customHeight="true" outlineLevel="0" collapsed="false">
      <c r="A30" s="37" t="s">
        <v>1194</v>
      </c>
      <c r="B30" s="38" t="s">
        <v>614</v>
      </c>
      <c r="C30" s="39" t="s">
        <v>661</v>
      </c>
      <c r="D30" s="38" t="s">
        <v>596</v>
      </c>
      <c r="E30" s="38" t="s">
        <v>1195</v>
      </c>
      <c r="F30" s="38" t="s">
        <v>238</v>
      </c>
      <c r="G30" s="39" t="s">
        <v>3</v>
      </c>
    </row>
    <row r="31" customFormat="false" ht="15.75" hidden="false" customHeight="true" outlineLevel="0" collapsed="false">
      <c r="A31" s="37" t="s">
        <v>1196</v>
      </c>
      <c r="B31" s="38" t="s">
        <v>579</v>
      </c>
      <c r="C31" s="39" t="s">
        <v>580</v>
      </c>
      <c r="D31" s="38" t="s">
        <v>1197</v>
      </c>
      <c r="E31" s="38" t="s">
        <v>1198</v>
      </c>
      <c r="F31" s="38" t="s">
        <v>238</v>
      </c>
      <c r="G31" s="39" t="s">
        <v>3</v>
      </c>
    </row>
    <row r="32" customFormat="false" ht="15.75" hidden="false" customHeight="true" outlineLevel="0" collapsed="false">
      <c r="A32" s="37" t="s">
        <v>1199</v>
      </c>
      <c r="B32" s="38" t="s">
        <v>614</v>
      </c>
      <c r="C32" s="39" t="s">
        <v>625</v>
      </c>
      <c r="D32" s="38" t="s">
        <v>596</v>
      </c>
      <c r="E32" s="38" t="s">
        <v>1200</v>
      </c>
      <c r="F32" s="38" t="s">
        <v>238</v>
      </c>
      <c r="G32" s="39" t="s">
        <v>3</v>
      </c>
    </row>
    <row r="33" customFormat="false" ht="28.5" hidden="false" customHeight="true" outlineLevel="0" collapsed="false">
      <c r="A33" s="37" t="s">
        <v>1201</v>
      </c>
      <c r="B33" s="38" t="s">
        <v>614</v>
      </c>
      <c r="C33" s="39" t="s">
        <v>661</v>
      </c>
      <c r="D33" s="38" t="s">
        <v>596</v>
      </c>
      <c r="E33" s="38" t="s">
        <v>1202</v>
      </c>
      <c r="F33" s="38" t="s">
        <v>238</v>
      </c>
      <c r="G33" s="39" t="s">
        <v>3</v>
      </c>
    </row>
    <row r="34" customFormat="false" ht="15.75" hidden="false" customHeight="true" outlineLevel="0" collapsed="false">
      <c r="A34" s="37" t="s">
        <v>1013</v>
      </c>
      <c r="B34" s="38" t="s">
        <v>567</v>
      </c>
      <c r="C34" s="39" t="s">
        <v>568</v>
      </c>
      <c r="D34" s="38" t="s">
        <v>599</v>
      </c>
      <c r="E34" s="38" t="s">
        <v>1203</v>
      </c>
      <c r="F34" s="38" t="s">
        <v>238</v>
      </c>
      <c r="G34" s="39" t="s">
        <v>3</v>
      </c>
    </row>
    <row r="35" customFormat="false" ht="15.75" hidden="false" customHeight="true" outlineLevel="0" collapsed="false">
      <c r="A35" s="37" t="s">
        <v>670</v>
      </c>
      <c r="B35" s="38" t="s">
        <v>579</v>
      </c>
      <c r="C35" s="39" t="s">
        <v>671</v>
      </c>
      <c r="D35" s="38" t="s">
        <v>596</v>
      </c>
      <c r="E35" s="38" t="s">
        <v>672</v>
      </c>
      <c r="F35" s="38" t="s">
        <v>238</v>
      </c>
      <c r="G35" s="39" t="s">
        <v>3</v>
      </c>
    </row>
    <row r="36" customFormat="false" ht="28.5" hidden="false" customHeight="true" outlineLevel="0" collapsed="false">
      <c r="A36" s="11" t="s">
        <v>673</v>
      </c>
      <c r="B36" s="11"/>
      <c r="C36" s="9"/>
      <c r="D36" s="11"/>
      <c r="E36" s="11" t="s">
        <v>674</v>
      </c>
      <c r="F36" s="11"/>
      <c r="G36" s="9"/>
    </row>
    <row r="38" customFormat="false" ht="15" hidden="false" customHeight="false" outlineLevel="0" collapsed="false">
      <c r="A38" s="3" t="s">
        <v>675</v>
      </c>
    </row>
    <row r="39" customFormat="false" ht="15.75" hidden="false" customHeight="true" outlineLevel="0" collapsed="false">
      <c r="A39" s="2" t="s">
        <v>1204</v>
      </c>
      <c r="B39" s="2"/>
      <c r="C39" s="2"/>
      <c r="D39" s="2"/>
      <c r="E39" s="2"/>
      <c r="F39" s="2"/>
      <c r="G39" s="2"/>
    </row>
    <row r="40" customFormat="false" ht="15.75" hidden="false" customHeight="true" outlineLevel="0" collapsed="false">
      <c r="A40" s="2" t="s">
        <v>1205</v>
      </c>
      <c r="B40" s="2"/>
      <c r="C40" s="2"/>
      <c r="D40" s="2"/>
      <c r="E40" s="2"/>
      <c r="F40" s="2"/>
      <c r="G40" s="2"/>
    </row>
    <row r="41" customFormat="false" ht="15.75" hidden="false" customHeight="true" outlineLevel="0" collapsed="false">
      <c r="A41" s="2" t="s">
        <v>1206</v>
      </c>
      <c r="B41" s="2"/>
      <c r="C41" s="2"/>
      <c r="D41" s="2"/>
      <c r="E41" s="2"/>
      <c r="F41" s="2"/>
      <c r="G41" s="2"/>
    </row>
    <row r="42" customFormat="false" ht="15.75" hidden="false" customHeight="true" outlineLevel="0" collapsed="false">
      <c r="A42" s="2" t="s">
        <v>1207</v>
      </c>
      <c r="B42" s="2"/>
      <c r="C42" s="2"/>
      <c r="D42" s="2"/>
      <c r="E42" s="2"/>
      <c r="F42" s="2"/>
      <c r="G42" s="2"/>
    </row>
  </sheetData>
  <mergeCells count="6">
    <mergeCell ref="B3:G3"/>
    <mergeCell ref="B4:G4"/>
    <mergeCell ref="A39:G39"/>
    <mergeCell ref="A40:G40"/>
    <mergeCell ref="A41:G41"/>
    <mergeCell ref="A42:G42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74</v>
      </c>
    </row>
    <row r="3" customFormat="false" ht="15.75" hidden="false" customHeight="true" outlineLevel="0" collapsed="false">
      <c r="A3" s="36" t="s">
        <v>556</v>
      </c>
      <c r="B3" s="2" t="s">
        <v>1208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1209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179</v>
      </c>
      <c r="B10" s="38" t="s">
        <v>567</v>
      </c>
      <c r="C10" s="39" t="s">
        <v>568</v>
      </c>
      <c r="D10" s="38" t="s">
        <v>573</v>
      </c>
      <c r="E10" s="38" t="s">
        <v>1210</v>
      </c>
      <c r="F10" s="38" t="s">
        <v>238</v>
      </c>
      <c r="G10" s="39" t="s">
        <v>3</v>
      </c>
    </row>
    <row r="11" customFormat="false" ht="15.75" hidden="false" customHeight="true" outlineLevel="0" collapsed="false">
      <c r="A11" s="37" t="s">
        <v>1211</v>
      </c>
      <c r="B11" s="38" t="s">
        <v>579</v>
      </c>
      <c r="C11" s="39" t="s">
        <v>585</v>
      </c>
      <c r="D11" s="38" t="s">
        <v>581</v>
      </c>
      <c r="E11" s="38" t="s">
        <v>1212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1213</v>
      </c>
      <c r="B12" s="38" t="s">
        <v>182</v>
      </c>
      <c r="C12" s="39" t="s">
        <v>568</v>
      </c>
      <c r="D12" s="38" t="s">
        <v>581</v>
      </c>
      <c r="E12" s="38" t="s">
        <v>1214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1215</v>
      </c>
      <c r="B13" s="38" t="s">
        <v>182</v>
      </c>
      <c r="C13" s="39" t="s">
        <v>568</v>
      </c>
      <c r="D13" s="38" t="s">
        <v>581</v>
      </c>
      <c r="E13" s="38" t="s">
        <v>1216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1217</v>
      </c>
      <c r="B14" s="38" t="s">
        <v>614</v>
      </c>
      <c r="C14" s="39" t="s">
        <v>766</v>
      </c>
      <c r="D14" s="38" t="s">
        <v>581</v>
      </c>
      <c r="E14" s="38" t="s">
        <v>1218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1219</v>
      </c>
      <c r="B15" s="38" t="s">
        <v>614</v>
      </c>
      <c r="C15" s="39" t="s">
        <v>766</v>
      </c>
      <c r="D15" s="38" t="s">
        <v>1220</v>
      </c>
      <c r="E15" s="38" t="s">
        <v>1221</v>
      </c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1222</v>
      </c>
      <c r="B16" s="38" t="s">
        <v>614</v>
      </c>
      <c r="C16" s="39" t="s">
        <v>766</v>
      </c>
      <c r="D16" s="38" t="s">
        <v>1220</v>
      </c>
      <c r="E16" s="38" t="s">
        <v>1223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1224</v>
      </c>
      <c r="B17" s="38" t="s">
        <v>614</v>
      </c>
      <c r="C17" s="39" t="s">
        <v>766</v>
      </c>
      <c r="D17" s="38" t="s">
        <v>581</v>
      </c>
      <c r="E17" s="38" t="s">
        <v>1225</v>
      </c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649</v>
      </c>
      <c r="B18" s="38" t="s">
        <v>579</v>
      </c>
      <c r="C18" s="39" t="s">
        <v>580</v>
      </c>
      <c r="D18" s="38" t="s">
        <v>1226</v>
      </c>
      <c r="E18" s="38" t="s">
        <v>1227</v>
      </c>
      <c r="F18" s="38" t="s">
        <v>238</v>
      </c>
      <c r="G18" s="39" t="s">
        <v>3</v>
      </c>
    </row>
    <row r="19" customFormat="false" ht="15.75" hidden="false" customHeight="true" outlineLevel="0" collapsed="false">
      <c r="A19" s="37" t="s">
        <v>1228</v>
      </c>
      <c r="B19" s="38" t="s">
        <v>182</v>
      </c>
      <c r="C19" s="39" t="s">
        <v>568</v>
      </c>
      <c r="D19" s="38" t="s">
        <v>596</v>
      </c>
      <c r="E19" s="38" t="s">
        <v>1229</v>
      </c>
      <c r="F19" s="38" t="s">
        <v>238</v>
      </c>
      <c r="G19" s="39" t="s">
        <v>3</v>
      </c>
    </row>
    <row r="20" customFormat="false" ht="15.75" hidden="false" customHeight="true" outlineLevel="0" collapsed="false">
      <c r="A20" s="37" t="s">
        <v>647</v>
      </c>
      <c r="B20" s="38" t="s">
        <v>182</v>
      </c>
      <c r="C20" s="39" t="s">
        <v>568</v>
      </c>
      <c r="D20" s="38" t="s">
        <v>596</v>
      </c>
      <c r="E20" s="38" t="s">
        <v>1230</v>
      </c>
      <c r="F20" s="38" t="s">
        <v>238</v>
      </c>
      <c r="G20" s="39" t="s">
        <v>3</v>
      </c>
    </row>
    <row r="21" customFormat="false" ht="15.75" hidden="false" customHeight="true" outlineLevel="0" collapsed="false">
      <c r="A21" s="37" t="s">
        <v>1138</v>
      </c>
      <c r="B21" s="38" t="s">
        <v>182</v>
      </c>
      <c r="C21" s="39" t="s">
        <v>568</v>
      </c>
      <c r="D21" s="38" t="s">
        <v>596</v>
      </c>
      <c r="E21" s="38" t="s">
        <v>1231</v>
      </c>
      <c r="F21" s="38" t="s">
        <v>238</v>
      </c>
      <c r="G21" s="39" t="s">
        <v>3</v>
      </c>
    </row>
    <row r="22" customFormat="false" ht="15.75" hidden="false" customHeight="true" outlineLevel="0" collapsed="false">
      <c r="A22" s="37" t="s">
        <v>1232</v>
      </c>
      <c r="B22" s="38" t="s">
        <v>579</v>
      </c>
      <c r="C22" s="39" t="s">
        <v>589</v>
      </c>
      <c r="D22" s="38" t="s">
        <v>596</v>
      </c>
      <c r="E22" s="38" t="s">
        <v>1233</v>
      </c>
      <c r="F22" s="38" t="s">
        <v>238</v>
      </c>
      <c r="G22" s="39" t="s">
        <v>3</v>
      </c>
    </row>
    <row r="23" customFormat="false" ht="15.75" hidden="false" customHeight="true" outlineLevel="0" collapsed="false">
      <c r="A23" s="37" t="s">
        <v>1234</v>
      </c>
      <c r="B23" s="38" t="s">
        <v>579</v>
      </c>
      <c r="C23" s="39" t="s">
        <v>592</v>
      </c>
      <c r="D23" s="38" t="s">
        <v>596</v>
      </c>
      <c r="E23" s="38" t="s">
        <v>1235</v>
      </c>
      <c r="F23" s="38" t="s">
        <v>238</v>
      </c>
      <c r="G23" s="39" t="s">
        <v>3</v>
      </c>
    </row>
    <row r="24" customFormat="false" ht="15.75" hidden="false" customHeight="true" outlineLevel="0" collapsed="false">
      <c r="A24" s="37" t="s">
        <v>670</v>
      </c>
      <c r="B24" s="38" t="s">
        <v>579</v>
      </c>
      <c r="C24" s="39" t="s">
        <v>671</v>
      </c>
      <c r="D24" s="38" t="s">
        <v>596</v>
      </c>
      <c r="E24" s="38" t="s">
        <v>672</v>
      </c>
      <c r="F24" s="38" t="s">
        <v>238</v>
      </c>
      <c r="G24" s="39" t="s">
        <v>3</v>
      </c>
    </row>
    <row r="25" customFormat="false" ht="28.5" hidden="false" customHeight="true" outlineLevel="0" collapsed="false">
      <c r="A25" s="11" t="s">
        <v>673</v>
      </c>
      <c r="B25" s="11"/>
      <c r="C25" s="9"/>
      <c r="D25" s="11"/>
      <c r="E25" s="11" t="s">
        <v>674</v>
      </c>
      <c r="F25" s="11"/>
      <c r="G25" s="9"/>
    </row>
    <row r="27" customFormat="false" ht="15" hidden="false" customHeight="false" outlineLevel="0" collapsed="false">
      <c r="A27" s="3" t="s">
        <v>675</v>
      </c>
    </row>
    <row r="28" customFormat="false" ht="15.75" hidden="false" customHeight="true" outlineLevel="0" collapsed="false">
      <c r="A28" s="2" t="s">
        <v>1236</v>
      </c>
      <c r="B28" s="2"/>
      <c r="C28" s="2"/>
      <c r="D28" s="2"/>
      <c r="E28" s="2"/>
      <c r="F28" s="2"/>
      <c r="G28" s="2"/>
    </row>
    <row r="29" customFormat="false" ht="15.75" hidden="false" customHeight="true" outlineLevel="0" collapsed="false">
      <c r="A29" s="2" t="s">
        <v>1237</v>
      </c>
      <c r="B29" s="2"/>
      <c r="C29" s="2"/>
      <c r="D29" s="2"/>
      <c r="E29" s="2"/>
      <c r="F29" s="2"/>
      <c r="G29" s="2"/>
    </row>
    <row r="30" customFormat="false" ht="15.75" hidden="false" customHeight="true" outlineLevel="0" collapsed="false">
      <c r="A30" s="2" t="s">
        <v>1238</v>
      </c>
      <c r="B30" s="2"/>
      <c r="C30" s="2"/>
      <c r="D30" s="2"/>
      <c r="E30" s="2"/>
      <c r="F30" s="2"/>
      <c r="G30" s="2"/>
    </row>
  </sheetData>
  <mergeCells count="5">
    <mergeCell ref="B3:G3"/>
    <mergeCell ref="B4:G4"/>
    <mergeCell ref="A28:G28"/>
    <mergeCell ref="A29:G29"/>
    <mergeCell ref="A30:G30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76</v>
      </c>
    </row>
    <row r="3" customFormat="false" ht="15.75" hidden="false" customHeight="true" outlineLevel="0" collapsed="false">
      <c r="A3" s="36" t="s">
        <v>556</v>
      </c>
      <c r="B3" s="2" t="s">
        <v>1239</v>
      </c>
      <c r="C3" s="2"/>
      <c r="D3" s="2"/>
      <c r="E3" s="2"/>
      <c r="F3" s="2"/>
      <c r="G3" s="2"/>
    </row>
    <row r="4" customFormat="false" ht="15.75" hidden="false" customHeight="true" outlineLevel="0" collapsed="false">
      <c r="A4" s="36" t="s">
        <v>558</v>
      </c>
      <c r="B4" s="2" t="s">
        <v>1240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1241</v>
      </c>
      <c r="B10" s="38" t="s">
        <v>567</v>
      </c>
      <c r="C10" s="39" t="s">
        <v>568</v>
      </c>
      <c r="D10" s="38" t="s">
        <v>573</v>
      </c>
      <c r="E10" s="38" t="s">
        <v>1242</v>
      </c>
      <c r="F10" s="38" t="s">
        <v>238</v>
      </c>
      <c r="G10" s="39" t="s">
        <v>3</v>
      </c>
    </row>
    <row r="11" customFormat="false" ht="28.5" hidden="false" customHeight="true" outlineLevel="0" collapsed="false">
      <c r="A11" s="37" t="s">
        <v>689</v>
      </c>
      <c r="B11" s="38" t="s">
        <v>567</v>
      </c>
      <c r="C11" s="39" t="s">
        <v>568</v>
      </c>
      <c r="D11" s="38" t="s">
        <v>1243</v>
      </c>
      <c r="E11" s="38" t="s">
        <v>1244</v>
      </c>
      <c r="F11" s="38" t="s">
        <v>238</v>
      </c>
      <c r="G11" s="39" t="s">
        <v>3</v>
      </c>
    </row>
    <row r="12" customFormat="false" ht="28.5" hidden="false" customHeight="true" outlineLevel="0" collapsed="false">
      <c r="A12" s="37" t="s">
        <v>695</v>
      </c>
      <c r="B12" s="38" t="s">
        <v>567</v>
      </c>
      <c r="C12" s="39" t="s">
        <v>568</v>
      </c>
      <c r="D12" s="38" t="s">
        <v>1243</v>
      </c>
      <c r="E12" s="38" t="s">
        <v>1245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1132</v>
      </c>
      <c r="B13" s="38" t="s">
        <v>579</v>
      </c>
      <c r="C13" s="39" t="s">
        <v>611</v>
      </c>
      <c r="D13" s="38" t="s">
        <v>581</v>
      </c>
      <c r="E13" s="38" t="s">
        <v>1246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1247</v>
      </c>
      <c r="B14" s="38" t="s">
        <v>614</v>
      </c>
      <c r="C14" s="39" t="s">
        <v>761</v>
      </c>
      <c r="D14" s="38" t="s">
        <v>581</v>
      </c>
      <c r="E14" s="38" t="s">
        <v>1248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1134</v>
      </c>
      <c r="B15" s="38" t="s">
        <v>614</v>
      </c>
      <c r="C15" s="39" t="s">
        <v>625</v>
      </c>
      <c r="D15" s="38" t="s">
        <v>581</v>
      </c>
      <c r="E15" s="38" t="s">
        <v>1249</v>
      </c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1250</v>
      </c>
      <c r="B16" s="38" t="s">
        <v>614</v>
      </c>
      <c r="C16" s="39" t="s">
        <v>661</v>
      </c>
      <c r="D16" s="38" t="s">
        <v>581</v>
      </c>
      <c r="E16" s="38" t="s">
        <v>1251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1252</v>
      </c>
      <c r="B17" s="38" t="s">
        <v>614</v>
      </c>
      <c r="C17" s="39" t="s">
        <v>661</v>
      </c>
      <c r="D17" s="38" t="s">
        <v>1220</v>
      </c>
      <c r="E17" s="38" t="s">
        <v>1253</v>
      </c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1254</v>
      </c>
      <c r="B18" s="38" t="s">
        <v>579</v>
      </c>
      <c r="C18" s="39" t="s">
        <v>668</v>
      </c>
      <c r="D18" s="38" t="s">
        <v>596</v>
      </c>
      <c r="E18" s="38" t="s">
        <v>1255</v>
      </c>
      <c r="F18" s="38" t="s">
        <v>238</v>
      </c>
      <c r="G18" s="39" t="s">
        <v>3</v>
      </c>
    </row>
    <row r="19" customFormat="false" ht="15.75" hidden="false" customHeight="true" outlineLevel="0" collapsed="false">
      <c r="A19" s="37" t="s">
        <v>1256</v>
      </c>
      <c r="B19" s="38" t="s">
        <v>614</v>
      </c>
      <c r="C19" s="39" t="s">
        <v>661</v>
      </c>
      <c r="D19" s="38" t="s">
        <v>581</v>
      </c>
      <c r="E19" s="38" t="s">
        <v>1257</v>
      </c>
      <c r="F19" s="38" t="s">
        <v>238</v>
      </c>
      <c r="G19" s="39" t="s">
        <v>3</v>
      </c>
    </row>
    <row r="20" customFormat="false" ht="28.5" hidden="false" customHeight="true" outlineLevel="0" collapsed="false">
      <c r="A20" s="11" t="s">
        <v>673</v>
      </c>
      <c r="B20" s="11"/>
      <c r="C20" s="9"/>
      <c r="D20" s="11"/>
      <c r="E20" s="11" t="s">
        <v>674</v>
      </c>
      <c r="F20" s="11"/>
      <c r="G20" s="9"/>
    </row>
    <row r="22" customFormat="false" ht="15" hidden="false" customHeight="false" outlineLevel="0" collapsed="false">
      <c r="A22" s="3" t="s">
        <v>675</v>
      </c>
    </row>
    <row r="23" customFormat="false" ht="15.75" hidden="false" customHeight="true" outlineLevel="0" collapsed="false">
      <c r="A23" s="2" t="s">
        <v>1258</v>
      </c>
      <c r="B23" s="2"/>
      <c r="C23" s="2"/>
      <c r="D23" s="2"/>
      <c r="E23" s="2"/>
      <c r="F23" s="2"/>
      <c r="G23" s="2"/>
    </row>
    <row r="24" customFormat="false" ht="15.75" hidden="false" customHeight="true" outlineLevel="0" collapsed="false">
      <c r="A24" s="2" t="s">
        <v>1259</v>
      </c>
      <c r="B24" s="2"/>
      <c r="C24" s="2"/>
      <c r="D24" s="2"/>
      <c r="E24" s="2"/>
      <c r="F24" s="2"/>
      <c r="G24" s="2"/>
    </row>
  </sheetData>
  <mergeCells count="4">
    <mergeCell ref="B3:G3"/>
    <mergeCell ref="B4:G4"/>
    <mergeCell ref="A23:G23"/>
    <mergeCell ref="A24:G2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78</v>
      </c>
    </row>
    <row r="3" customFormat="false" ht="15.75" hidden="false" customHeight="true" outlineLevel="0" collapsed="false">
      <c r="A3" s="36" t="s">
        <v>556</v>
      </c>
      <c r="B3" s="2" t="s">
        <v>1260</v>
      </c>
      <c r="C3" s="2"/>
      <c r="D3" s="2"/>
      <c r="E3" s="2"/>
      <c r="F3" s="2"/>
      <c r="G3" s="2"/>
    </row>
    <row r="4" customFormat="false" ht="28.5" hidden="false" customHeight="true" outlineLevel="0" collapsed="false">
      <c r="A4" s="36" t="s">
        <v>558</v>
      </c>
      <c r="B4" s="2" t="s">
        <v>1261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28.5" hidden="false" customHeight="true" outlineLevel="0" collapsed="false">
      <c r="A10" s="37" t="s">
        <v>1087</v>
      </c>
      <c r="B10" s="38" t="s">
        <v>567</v>
      </c>
      <c r="C10" s="39" t="s">
        <v>568</v>
      </c>
      <c r="D10" s="38" t="s">
        <v>1262</v>
      </c>
      <c r="E10" s="38" t="s">
        <v>1263</v>
      </c>
      <c r="F10" s="38" t="s">
        <v>238</v>
      </c>
      <c r="G10" s="39" t="s">
        <v>3</v>
      </c>
    </row>
    <row r="11" customFormat="false" ht="15.75" hidden="false" customHeight="true" outlineLevel="0" collapsed="false">
      <c r="A11" s="37" t="s">
        <v>1213</v>
      </c>
      <c r="B11" s="38" t="s">
        <v>182</v>
      </c>
      <c r="C11" s="39" t="s">
        <v>568</v>
      </c>
      <c r="D11" s="38" t="s">
        <v>581</v>
      </c>
      <c r="E11" s="38" t="s">
        <v>1264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1215</v>
      </c>
      <c r="B12" s="38" t="s">
        <v>182</v>
      </c>
      <c r="C12" s="39" t="s">
        <v>568</v>
      </c>
      <c r="D12" s="38" t="s">
        <v>581</v>
      </c>
      <c r="E12" s="38" t="s">
        <v>1265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1266</v>
      </c>
      <c r="B13" s="38" t="s">
        <v>579</v>
      </c>
      <c r="C13" s="39" t="s">
        <v>611</v>
      </c>
      <c r="D13" s="38" t="s">
        <v>581</v>
      </c>
      <c r="E13" s="38" t="s">
        <v>1267</v>
      </c>
      <c r="F13" s="38" t="s">
        <v>238</v>
      </c>
      <c r="G13" s="39" t="s">
        <v>3</v>
      </c>
    </row>
    <row r="14" customFormat="false" ht="28.5" hidden="false" customHeight="true" outlineLevel="0" collapsed="false">
      <c r="A14" s="37" t="s">
        <v>1268</v>
      </c>
      <c r="B14" s="38" t="s">
        <v>614</v>
      </c>
      <c r="C14" s="39" t="s">
        <v>615</v>
      </c>
      <c r="D14" s="38" t="s">
        <v>581</v>
      </c>
      <c r="E14" s="38" t="s">
        <v>1269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1270</v>
      </c>
      <c r="B15" s="38" t="s">
        <v>614</v>
      </c>
      <c r="C15" s="39" t="s">
        <v>766</v>
      </c>
      <c r="D15" s="38" t="s">
        <v>581</v>
      </c>
      <c r="E15" s="38" t="s">
        <v>1271</v>
      </c>
      <c r="F15" s="38" t="s">
        <v>238</v>
      </c>
      <c r="G15" s="39" t="s">
        <v>3</v>
      </c>
    </row>
    <row r="16" customFormat="false" ht="15.75" hidden="false" customHeight="true" outlineLevel="0" collapsed="false">
      <c r="A16" s="37" t="s">
        <v>1272</v>
      </c>
      <c r="B16" s="38" t="s">
        <v>614</v>
      </c>
      <c r="C16" s="39" t="s">
        <v>625</v>
      </c>
      <c r="D16" s="38" t="s">
        <v>581</v>
      </c>
      <c r="E16" s="38" t="s">
        <v>1273</v>
      </c>
      <c r="F16" s="38" t="s">
        <v>238</v>
      </c>
      <c r="G16" s="39" t="s">
        <v>3</v>
      </c>
    </row>
    <row r="17" customFormat="false" ht="15.75" hidden="false" customHeight="true" outlineLevel="0" collapsed="false">
      <c r="A17" s="37" t="s">
        <v>649</v>
      </c>
      <c r="B17" s="38" t="s">
        <v>579</v>
      </c>
      <c r="C17" s="39" t="s">
        <v>580</v>
      </c>
      <c r="D17" s="38" t="s">
        <v>1274</v>
      </c>
      <c r="E17" s="38" t="s">
        <v>1275</v>
      </c>
      <c r="F17" s="38" t="s">
        <v>238</v>
      </c>
      <c r="G17" s="39" t="s">
        <v>3</v>
      </c>
    </row>
    <row r="18" customFormat="false" ht="15.75" hidden="false" customHeight="true" outlineLevel="0" collapsed="false">
      <c r="A18" s="37" t="s">
        <v>1228</v>
      </c>
      <c r="B18" s="38" t="s">
        <v>182</v>
      </c>
      <c r="C18" s="39" t="s">
        <v>568</v>
      </c>
      <c r="D18" s="38" t="s">
        <v>596</v>
      </c>
      <c r="E18" s="38" t="s">
        <v>1276</v>
      </c>
      <c r="F18" s="38" t="s">
        <v>238</v>
      </c>
      <c r="G18" s="39" t="s">
        <v>3</v>
      </c>
    </row>
    <row r="19" customFormat="false" ht="15.75" hidden="false" customHeight="true" outlineLevel="0" collapsed="false">
      <c r="A19" s="37" t="s">
        <v>670</v>
      </c>
      <c r="B19" s="38" t="s">
        <v>579</v>
      </c>
      <c r="C19" s="39" t="s">
        <v>671</v>
      </c>
      <c r="D19" s="38" t="s">
        <v>596</v>
      </c>
      <c r="E19" s="38" t="s">
        <v>672</v>
      </c>
      <c r="F19" s="38" t="s">
        <v>238</v>
      </c>
      <c r="G19" s="39" t="s">
        <v>3</v>
      </c>
    </row>
    <row r="20" customFormat="false" ht="28.5" hidden="false" customHeight="true" outlineLevel="0" collapsed="false">
      <c r="A20" s="11" t="s">
        <v>673</v>
      </c>
      <c r="B20" s="11"/>
      <c r="C20" s="9"/>
      <c r="D20" s="11"/>
      <c r="E20" s="11" t="s">
        <v>674</v>
      </c>
      <c r="F20" s="11"/>
      <c r="G20" s="9"/>
    </row>
    <row r="22" customFormat="false" ht="15" hidden="false" customHeight="false" outlineLevel="0" collapsed="false">
      <c r="A22" s="3" t="s">
        <v>675</v>
      </c>
    </row>
    <row r="23" customFormat="false" ht="28.5" hidden="false" customHeight="true" outlineLevel="0" collapsed="false">
      <c r="A23" s="2" t="s">
        <v>1277</v>
      </c>
      <c r="B23" s="2"/>
      <c r="C23" s="2"/>
      <c r="D23" s="2"/>
      <c r="E23" s="2"/>
      <c r="F23" s="2"/>
      <c r="G23" s="2"/>
    </row>
    <row r="24" customFormat="false" ht="15.75" hidden="false" customHeight="true" outlineLevel="0" collapsed="false">
      <c r="A24" s="2" t="s">
        <v>1278</v>
      </c>
      <c r="B24" s="2"/>
      <c r="C24" s="2"/>
      <c r="D24" s="2"/>
      <c r="E24" s="2"/>
      <c r="F24" s="2"/>
      <c r="G24" s="2"/>
    </row>
    <row r="25" customFormat="false" ht="15.75" hidden="false" customHeight="true" outlineLevel="0" collapsed="false">
      <c r="A25" s="2" t="s">
        <v>1279</v>
      </c>
      <c r="B25" s="2"/>
      <c r="C25" s="2"/>
      <c r="D25" s="2"/>
      <c r="E25" s="2"/>
      <c r="F25" s="2"/>
      <c r="G25" s="2"/>
    </row>
    <row r="26" customFormat="false" ht="15.75" hidden="false" customHeight="true" outlineLevel="0" collapsed="false">
      <c r="A26" s="2" t="s">
        <v>1280</v>
      </c>
      <c r="B26" s="2"/>
      <c r="C26" s="2"/>
      <c r="D26" s="2"/>
      <c r="E26" s="2"/>
      <c r="F26" s="2"/>
      <c r="G26" s="2"/>
    </row>
  </sheetData>
  <mergeCells count="6">
    <mergeCell ref="B3:G3"/>
    <mergeCell ref="B4:G4"/>
    <mergeCell ref="A23:G23"/>
    <mergeCell ref="A24:G24"/>
    <mergeCell ref="A25:G25"/>
    <mergeCell ref="A26:G26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78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34" t="s">
        <v>554</v>
      </c>
      <c r="B1" s="34" t="s">
        <v>58</v>
      </c>
      <c r="G1" s="14" t="s">
        <v>131</v>
      </c>
    </row>
    <row r="2" customFormat="false" ht="15" hidden="false" customHeight="false" outlineLevel="0" collapsed="false">
      <c r="A2" s="34" t="s">
        <v>555</v>
      </c>
      <c r="B2" s="35" t="s">
        <v>80</v>
      </c>
    </row>
    <row r="3" customFormat="false" ht="15.75" hidden="false" customHeight="true" outlineLevel="0" collapsed="false">
      <c r="A3" s="36" t="s">
        <v>556</v>
      </c>
      <c r="B3" s="2" t="s">
        <v>1281</v>
      </c>
      <c r="C3" s="2"/>
      <c r="D3" s="2"/>
      <c r="E3" s="2"/>
      <c r="F3" s="2"/>
      <c r="G3" s="2"/>
    </row>
    <row r="4" customFormat="false" ht="15.75" hidden="false" customHeight="true" outlineLevel="0" collapsed="false">
      <c r="A4" s="36" t="s">
        <v>558</v>
      </c>
      <c r="B4" s="2" t="s">
        <v>1282</v>
      </c>
      <c r="C4" s="2"/>
      <c r="D4" s="2"/>
      <c r="E4" s="2"/>
      <c r="F4" s="2"/>
      <c r="G4" s="2"/>
    </row>
    <row r="6" customFormat="false" ht="15" hidden="false" customHeight="false" outlineLevel="0" collapsed="false">
      <c r="A6" s="8" t="s">
        <v>133</v>
      </c>
      <c r="B6" s="8" t="s">
        <v>560</v>
      </c>
      <c r="C6" s="8" t="s">
        <v>561</v>
      </c>
      <c r="D6" s="8" t="s">
        <v>562</v>
      </c>
      <c r="E6" s="8" t="s">
        <v>563</v>
      </c>
      <c r="F6" s="8" t="s">
        <v>564</v>
      </c>
      <c r="G6" s="8" t="s">
        <v>565</v>
      </c>
    </row>
    <row r="7" customFormat="false" ht="15.75" hidden="false" customHeight="true" outlineLevel="0" collapsed="false">
      <c r="A7" s="37" t="s">
        <v>566</v>
      </c>
      <c r="B7" s="38" t="s">
        <v>567</v>
      </c>
      <c r="C7" s="39" t="s">
        <v>568</v>
      </c>
      <c r="D7" s="38" t="s">
        <v>569</v>
      </c>
      <c r="E7" s="38" t="s">
        <v>570</v>
      </c>
      <c r="F7" s="38" t="s">
        <v>238</v>
      </c>
      <c r="G7" s="39" t="s">
        <v>3</v>
      </c>
    </row>
    <row r="8" customFormat="false" ht="15.75" hidden="false" customHeight="true" outlineLevel="0" collapsed="false">
      <c r="A8" s="37" t="s">
        <v>572</v>
      </c>
      <c r="B8" s="38" t="s">
        <v>567</v>
      </c>
      <c r="C8" s="39" t="s">
        <v>568</v>
      </c>
      <c r="D8" s="38" t="s">
        <v>573</v>
      </c>
      <c r="E8" s="38" t="s">
        <v>574</v>
      </c>
      <c r="F8" s="38" t="s">
        <v>238</v>
      </c>
      <c r="G8" s="39" t="s">
        <v>3</v>
      </c>
    </row>
    <row r="9" customFormat="false" ht="15.75" hidden="false" customHeight="true" outlineLevel="0" collapsed="false">
      <c r="A9" s="37" t="s">
        <v>576</v>
      </c>
      <c r="B9" s="38" t="s">
        <v>567</v>
      </c>
      <c r="C9" s="39" t="s">
        <v>568</v>
      </c>
      <c r="D9" s="38" t="s">
        <v>573</v>
      </c>
      <c r="E9" s="38" t="s">
        <v>577</v>
      </c>
      <c r="F9" s="38" t="s">
        <v>238</v>
      </c>
      <c r="G9" s="39" t="s">
        <v>3</v>
      </c>
    </row>
    <row r="10" customFormat="false" ht="15.75" hidden="false" customHeight="true" outlineLevel="0" collapsed="false">
      <c r="A10" s="37" t="s">
        <v>1013</v>
      </c>
      <c r="B10" s="38" t="s">
        <v>567</v>
      </c>
      <c r="C10" s="39" t="s">
        <v>568</v>
      </c>
      <c r="D10" s="38" t="s">
        <v>573</v>
      </c>
      <c r="E10" s="38" t="s">
        <v>1283</v>
      </c>
      <c r="F10" s="38" t="s">
        <v>238</v>
      </c>
      <c r="G10" s="39" t="s">
        <v>3</v>
      </c>
    </row>
    <row r="11" customFormat="false" ht="15.75" hidden="false" customHeight="true" outlineLevel="0" collapsed="false">
      <c r="A11" s="37" t="s">
        <v>1125</v>
      </c>
      <c r="B11" s="38" t="s">
        <v>567</v>
      </c>
      <c r="C11" s="39" t="s">
        <v>568</v>
      </c>
      <c r="D11" s="38" t="s">
        <v>599</v>
      </c>
      <c r="E11" s="38" t="s">
        <v>1284</v>
      </c>
      <c r="F11" s="38" t="s">
        <v>238</v>
      </c>
      <c r="G11" s="39" t="s">
        <v>3</v>
      </c>
    </row>
    <row r="12" customFormat="false" ht="15.75" hidden="false" customHeight="true" outlineLevel="0" collapsed="false">
      <c r="A12" s="37" t="s">
        <v>1070</v>
      </c>
      <c r="B12" s="38" t="s">
        <v>579</v>
      </c>
      <c r="C12" s="39" t="s">
        <v>585</v>
      </c>
      <c r="D12" s="38" t="s">
        <v>581</v>
      </c>
      <c r="E12" s="38" t="s">
        <v>1285</v>
      </c>
      <c r="F12" s="38" t="s">
        <v>238</v>
      </c>
      <c r="G12" s="39" t="s">
        <v>3</v>
      </c>
    </row>
    <row r="13" customFormat="false" ht="15.75" hidden="false" customHeight="true" outlineLevel="0" collapsed="false">
      <c r="A13" s="37" t="s">
        <v>866</v>
      </c>
      <c r="B13" s="38" t="s">
        <v>579</v>
      </c>
      <c r="C13" s="39" t="s">
        <v>585</v>
      </c>
      <c r="D13" s="38" t="s">
        <v>581</v>
      </c>
      <c r="E13" s="38" t="s">
        <v>1286</v>
      </c>
      <c r="F13" s="38" t="s">
        <v>238</v>
      </c>
      <c r="G13" s="39" t="s">
        <v>3</v>
      </c>
    </row>
    <row r="14" customFormat="false" ht="15.75" hidden="false" customHeight="true" outlineLevel="0" collapsed="false">
      <c r="A14" s="37" t="s">
        <v>1030</v>
      </c>
      <c r="B14" s="38" t="s">
        <v>614</v>
      </c>
      <c r="C14" s="39" t="s">
        <v>766</v>
      </c>
      <c r="D14" s="38" t="s">
        <v>581</v>
      </c>
      <c r="E14" s="38" t="s">
        <v>1287</v>
      </c>
      <c r="F14" s="38" t="s">
        <v>238</v>
      </c>
      <c r="G14" s="39" t="s">
        <v>3</v>
      </c>
    </row>
    <row r="15" customFormat="false" ht="15.75" hidden="false" customHeight="true" outlineLevel="0" collapsed="false">
      <c r="A15" s="37" t="s">
        <v>1272</v>
      </c>
      <c r="B15" s="38" t="s">
        <v>614</v>
      </c>
      <c r="C15" s="39" t="s">
        <v>625</v>
      </c>
      <c r="D15" s="38" t="s">
        <v>581</v>
      </c>
      <c r="E15" s="38" t="s">
        <v>1288</v>
      </c>
      <c r="F15" s="38" t="s">
        <v>238</v>
      </c>
      <c r="G15" s="39" t="s">
        <v>3</v>
      </c>
    </row>
    <row r="16" customFormat="false" ht="28.5" hidden="false" customHeight="true" outlineLevel="0" collapsed="false">
      <c r="A16" s="11" t="s">
        <v>673</v>
      </c>
      <c r="B16" s="11"/>
      <c r="C16" s="9"/>
      <c r="D16" s="11"/>
      <c r="E16" s="11" t="s">
        <v>674</v>
      </c>
      <c r="F16" s="11"/>
      <c r="G16" s="9"/>
    </row>
  </sheetData>
  <mergeCells count="2">
    <mergeCell ref="B3:G3"/>
    <mergeCell ref="B4:G4"/>
  </mergeCells>
  <hyperlinks>
    <hyperlink ref="G1" r:id="rId1" location="'Leia-me'!A1" display="← Leia-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2026-11-02T00:31:23Z</dcterms:created>
  <dc:creator>openpyxl</dc:creator>
  <dc:description/>
  <dc:language>en-US</dc:language>
  <cp:lastModifiedBy/>
  <dcterms:modified xsi:type="dcterms:W3CDTF">2026-11-02T00:31:23Z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